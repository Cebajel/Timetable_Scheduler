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9" i="1"/>
  <c r="G11" i="1"/>
  <c r="G10" i="1"/>
  <c r="G12" i="1"/>
  <c r="G13" i="1"/>
  <c r="G14" i="1"/>
  <c r="G19" i="1"/>
  <c r="G6" i="1"/>
  <c r="G7" i="1"/>
  <c r="G2" i="1"/>
  <c r="G3" i="1"/>
  <c r="G4" i="1"/>
  <c r="G5" i="1"/>
  <c r="G8" i="1"/>
  <c r="F8" i="1"/>
  <c r="F5" i="1"/>
  <c r="F4" i="1"/>
  <c r="F3" i="1"/>
  <c r="F2" i="1"/>
  <c r="F7" i="1"/>
  <c r="F6" i="1"/>
  <c r="F19" i="1"/>
  <c r="F14" i="1"/>
  <c r="F13" i="1"/>
  <c r="F12" i="1"/>
  <c r="F10" i="1"/>
  <c r="F11" i="1"/>
  <c r="F9" i="1"/>
  <c r="F18" i="1"/>
  <c r="F17" i="1"/>
  <c r="F16" i="1"/>
  <c r="F15" i="1"/>
</calcChain>
</file>

<file path=xl/sharedStrings.xml><?xml version="1.0" encoding="utf-8"?>
<sst xmlns="http://schemas.openxmlformats.org/spreadsheetml/2006/main" count="34" uniqueCount="18">
  <si>
    <t>2 seater</t>
  </si>
  <si>
    <t>UG1</t>
  </si>
  <si>
    <t>UG2</t>
  </si>
  <si>
    <t>UG3</t>
  </si>
  <si>
    <t>UG4</t>
  </si>
  <si>
    <t>UG5</t>
  </si>
  <si>
    <t>UG6</t>
  </si>
  <si>
    <t>F300</t>
  </si>
  <si>
    <t>Name</t>
  </si>
  <si>
    <t>1 seater</t>
  </si>
  <si>
    <t>3 seater</t>
  </si>
  <si>
    <t>Campus</t>
  </si>
  <si>
    <t>PC</t>
  </si>
  <si>
    <t>TC</t>
  </si>
  <si>
    <t>Auditorium</t>
  </si>
  <si>
    <t>Central Hall</t>
  </si>
  <si>
    <t>Capacity (per course)</t>
  </si>
  <si>
    <t>Capacity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</si>
</sst>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9" totalsRowShown="0">
  <autoFilter ref="A1:G19"/>
  <sortState ref="A2:G20">
    <sortCondition ref="A1:A20"/>
  </sortState>
  <tableColumns count="7">
    <tableColumn id="6" name="Campus"/>
    <tableColumn id="1" name="Name"/>
    <tableColumn id="2" name="1 seater"/>
    <tableColumn id="3" name="2 seater"/>
    <tableColumn id="4" name="3 seater"/>
    <tableColumn id="7" name="Capacity (per course)" dataDxfId="1">
      <calculatedColumnFormula>ROUNDDOWN(Table1[[#This Row],[1 seater]]/2+Table1[[#This Row],[2 seater]]+Table1[[#This Row],[3 seater]],0)</calculatedColumnFormula>
    </tableColumn>
    <tableColumn id="5" name="Capacity (total)" dataDxfId="0">
      <calculatedColumnFormula>C2+D2+E2*2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/>
  </sheetViews>
  <sheetFormatPr defaultRowHeight="15" x14ac:dyDescent="0.25"/>
  <cols>
    <col min="1" max="1" width="10.28515625" bestFit="1" customWidth="1"/>
    <col min="2" max="2" width="11.28515625" bestFit="1" customWidth="1"/>
    <col min="3" max="5" width="10.28515625" bestFit="1" customWidth="1"/>
    <col min="6" max="6" width="22.140625" bestFit="1" customWidth="1"/>
    <col min="7" max="7" width="16.85546875" bestFit="1" customWidth="1"/>
    <col min="8" max="8" width="10.7109375" bestFit="1" customWidth="1"/>
  </cols>
  <sheetData>
    <row r="1" spans="1:7" ht="15.75" customHeight="1" x14ac:dyDescent="0.25">
      <c r="A1" t="s">
        <v>11</v>
      </c>
      <c r="B1" t="s">
        <v>8</v>
      </c>
      <c r="C1" t="s">
        <v>9</v>
      </c>
      <c r="D1" t="s">
        <v>0</v>
      </c>
      <c r="E1" t="s">
        <v>10</v>
      </c>
      <c r="F1" t="s">
        <v>16</v>
      </c>
      <c r="G1" t="s">
        <v>17</v>
      </c>
    </row>
    <row r="2" spans="1:7" x14ac:dyDescent="0.25">
      <c r="A2" t="s">
        <v>12</v>
      </c>
      <c r="B2" t="s">
        <v>1</v>
      </c>
      <c r="C2">
        <v>0</v>
      </c>
      <c r="D2">
        <v>7</v>
      </c>
      <c r="E2">
        <v>15</v>
      </c>
      <c r="F2">
        <f>ROUNDDOWN(Table1[[#This Row],[1 seater]]/2+Table1[[#This Row],[2 seater]]+Table1[[#This Row],[3 seater]],0)</f>
        <v>22</v>
      </c>
      <c r="G2">
        <f t="shared" ref="G2:G19" si="0">C2+D2+E2*2</f>
        <v>37</v>
      </c>
    </row>
    <row r="3" spans="1:7" ht="15.75" customHeight="1" x14ac:dyDescent="0.25">
      <c r="A3" t="s">
        <v>12</v>
      </c>
      <c r="B3" t="s">
        <v>2</v>
      </c>
      <c r="C3">
        <v>0</v>
      </c>
      <c r="D3">
        <v>1</v>
      </c>
      <c r="E3">
        <v>37</v>
      </c>
      <c r="F3">
        <f>ROUNDDOWN(Table1[[#This Row],[1 seater]]/2+Table1[[#This Row],[2 seater]]+Table1[[#This Row],[3 seater]],0)</f>
        <v>38</v>
      </c>
      <c r="G3">
        <f t="shared" si="0"/>
        <v>75</v>
      </c>
    </row>
    <row r="4" spans="1:7" x14ac:dyDescent="0.25">
      <c r="A4" t="s">
        <v>12</v>
      </c>
      <c r="B4" t="s">
        <v>3</v>
      </c>
      <c r="C4">
        <v>0</v>
      </c>
      <c r="D4">
        <v>1</v>
      </c>
      <c r="E4">
        <v>38</v>
      </c>
      <c r="F4">
        <f>ROUNDDOWN(Table1[[#This Row],[1 seater]]/2+Table1[[#This Row],[2 seater]]+Table1[[#This Row],[3 seater]],0)</f>
        <v>39</v>
      </c>
      <c r="G4">
        <f t="shared" si="0"/>
        <v>77</v>
      </c>
    </row>
    <row r="5" spans="1:7" x14ac:dyDescent="0.25">
      <c r="A5" t="s">
        <v>12</v>
      </c>
      <c r="B5" t="s">
        <v>4</v>
      </c>
      <c r="C5">
        <v>0</v>
      </c>
      <c r="D5">
        <v>0</v>
      </c>
      <c r="E5">
        <v>50</v>
      </c>
      <c r="F5">
        <f>ROUNDDOWN(Table1[[#This Row],[1 seater]]/2+Table1[[#This Row],[2 seater]]+Table1[[#This Row],[3 seater]],0)</f>
        <v>50</v>
      </c>
      <c r="G5">
        <f t="shared" si="0"/>
        <v>100</v>
      </c>
    </row>
    <row r="6" spans="1:7" x14ac:dyDescent="0.25">
      <c r="A6" t="s">
        <v>12</v>
      </c>
      <c r="B6" t="s">
        <v>5</v>
      </c>
      <c r="C6">
        <v>0</v>
      </c>
      <c r="D6">
        <v>18</v>
      </c>
      <c r="E6">
        <v>0</v>
      </c>
      <c r="F6">
        <f>ROUNDDOWN(Table1[[#This Row],[1 seater]]/2+Table1[[#This Row],[2 seater]]+Table1[[#This Row],[3 seater]],0)</f>
        <v>18</v>
      </c>
      <c r="G6">
        <f t="shared" si="0"/>
        <v>18</v>
      </c>
    </row>
    <row r="7" spans="1:7" x14ac:dyDescent="0.25">
      <c r="A7" t="s">
        <v>12</v>
      </c>
      <c r="B7" t="s">
        <v>6</v>
      </c>
      <c r="C7">
        <v>0</v>
      </c>
      <c r="D7">
        <v>19</v>
      </c>
      <c r="E7">
        <v>0</v>
      </c>
      <c r="F7">
        <f>ROUNDDOWN(Table1[[#This Row],[1 seater]]/2+Table1[[#This Row],[2 seater]]+Table1[[#This Row],[3 seater]],0)</f>
        <v>19</v>
      </c>
      <c r="G7">
        <f t="shared" si="0"/>
        <v>19</v>
      </c>
    </row>
    <row r="8" spans="1:7" x14ac:dyDescent="0.25">
      <c r="A8" t="s">
        <v>12</v>
      </c>
      <c r="B8" t="s">
        <v>7</v>
      </c>
      <c r="C8">
        <v>310</v>
      </c>
      <c r="D8">
        <v>0</v>
      </c>
      <c r="E8">
        <v>0</v>
      </c>
      <c r="F8">
        <f>ROUNDDOWN(Table1[[#This Row],[1 seater]]/2+Table1[[#This Row],[2 seater]]+Table1[[#This Row],[3 seater]],0)</f>
        <v>155</v>
      </c>
      <c r="G8">
        <f t="shared" si="0"/>
        <v>310</v>
      </c>
    </row>
    <row r="9" spans="1:7" x14ac:dyDescent="0.25">
      <c r="A9" t="s">
        <v>13</v>
      </c>
      <c r="B9">
        <v>21</v>
      </c>
      <c r="C9">
        <v>0</v>
      </c>
      <c r="D9">
        <v>7</v>
      </c>
      <c r="E9">
        <v>9</v>
      </c>
      <c r="F9">
        <f>ROUNDDOWN(Table1[[#This Row],[1 seater]]/2+Table1[[#This Row],[2 seater]]+Table1[[#This Row],[3 seater]],0)</f>
        <v>16</v>
      </c>
      <c r="G9">
        <f t="shared" si="0"/>
        <v>25</v>
      </c>
    </row>
    <row r="10" spans="1:7" x14ac:dyDescent="0.25">
      <c r="A10" t="s">
        <v>13</v>
      </c>
      <c r="B10">
        <v>115</v>
      </c>
      <c r="C10">
        <v>0</v>
      </c>
      <c r="D10">
        <v>20</v>
      </c>
      <c r="E10">
        <v>10</v>
      </c>
      <c r="F10">
        <f>ROUNDDOWN(Table1[[#This Row],[1 seater]]/2+Table1[[#This Row],[2 seater]]+Table1[[#This Row],[3 seater]],0)</f>
        <v>30</v>
      </c>
      <c r="G10">
        <f t="shared" si="0"/>
        <v>40</v>
      </c>
    </row>
    <row r="11" spans="1:7" x14ac:dyDescent="0.25">
      <c r="A11" t="s">
        <v>13</v>
      </c>
      <c r="B11">
        <v>119</v>
      </c>
      <c r="C11">
        <v>0</v>
      </c>
      <c r="D11">
        <v>7</v>
      </c>
      <c r="E11">
        <v>14</v>
      </c>
      <c r="F11">
        <f>ROUNDDOWN(Table1[[#This Row],[1 seater]]/2+Table1[[#This Row],[2 seater]]+Table1[[#This Row],[3 seater]],0)</f>
        <v>21</v>
      </c>
      <c r="G11">
        <f t="shared" si="0"/>
        <v>35</v>
      </c>
    </row>
    <row r="12" spans="1:7" x14ac:dyDescent="0.25">
      <c r="A12" t="s">
        <v>13</v>
      </c>
      <c r="B12">
        <v>22</v>
      </c>
      <c r="C12">
        <v>0</v>
      </c>
      <c r="D12">
        <v>9</v>
      </c>
      <c r="E12">
        <v>18</v>
      </c>
      <c r="F12">
        <f>ROUNDDOWN(Table1[[#This Row],[1 seater]]/2+Table1[[#This Row],[2 seater]]+Table1[[#This Row],[3 seater]],0)</f>
        <v>27</v>
      </c>
      <c r="G12">
        <f t="shared" si="0"/>
        <v>45</v>
      </c>
    </row>
    <row r="13" spans="1:7" x14ac:dyDescent="0.25">
      <c r="A13" t="s">
        <v>13</v>
      </c>
      <c r="B13">
        <v>117</v>
      </c>
      <c r="C13">
        <v>0</v>
      </c>
      <c r="D13">
        <v>0</v>
      </c>
      <c r="E13">
        <v>30</v>
      </c>
      <c r="F13">
        <f>ROUNDDOWN(Table1[[#This Row],[1 seater]]/2+Table1[[#This Row],[2 seater]]+Table1[[#This Row],[3 seater]],0)</f>
        <v>30</v>
      </c>
      <c r="G13">
        <f t="shared" si="0"/>
        <v>60</v>
      </c>
    </row>
    <row r="14" spans="1:7" x14ac:dyDescent="0.25">
      <c r="A14" t="s">
        <v>13</v>
      </c>
      <c r="B14">
        <v>23</v>
      </c>
      <c r="C14">
        <v>0</v>
      </c>
      <c r="D14">
        <v>13</v>
      </c>
      <c r="E14">
        <v>39</v>
      </c>
      <c r="F14">
        <f>ROUNDDOWN(Table1[[#This Row],[1 seater]]/2+Table1[[#This Row],[2 seater]]+Table1[[#This Row],[3 seater]],0)</f>
        <v>52</v>
      </c>
      <c r="G14">
        <f t="shared" si="0"/>
        <v>91</v>
      </c>
    </row>
    <row r="15" spans="1:7" x14ac:dyDescent="0.25">
      <c r="A15" t="s">
        <v>13</v>
      </c>
      <c r="B15" t="s">
        <v>15</v>
      </c>
      <c r="C15">
        <v>25</v>
      </c>
      <c r="D15">
        <v>0</v>
      </c>
      <c r="E15">
        <v>0</v>
      </c>
      <c r="F15">
        <f>ROUNDDOWN(Table1[[#This Row],[1 seater]]/2+Table1[[#This Row],[2 seater]]+Table1[[#This Row],[3 seater]],0)</f>
        <v>12</v>
      </c>
      <c r="G15">
        <f t="shared" si="0"/>
        <v>25</v>
      </c>
    </row>
    <row r="16" spans="1:7" x14ac:dyDescent="0.25">
      <c r="A16" t="s">
        <v>13</v>
      </c>
      <c r="B16">
        <v>214</v>
      </c>
      <c r="C16">
        <v>31</v>
      </c>
      <c r="D16">
        <v>0</v>
      </c>
      <c r="E16">
        <v>0</v>
      </c>
      <c r="F16">
        <f>ROUNDDOWN(Table1[[#This Row],[1 seater]]/2+Table1[[#This Row],[2 seater]]+Table1[[#This Row],[3 seater]],0)</f>
        <v>15</v>
      </c>
      <c r="G16">
        <f t="shared" si="0"/>
        <v>31</v>
      </c>
    </row>
    <row r="17" spans="1:7" x14ac:dyDescent="0.25">
      <c r="A17" t="s">
        <v>13</v>
      </c>
      <c r="B17">
        <v>215</v>
      </c>
      <c r="C17">
        <v>39</v>
      </c>
      <c r="D17">
        <v>0</v>
      </c>
      <c r="E17">
        <v>0</v>
      </c>
      <c r="F17">
        <f>ROUNDDOWN(Table1[[#This Row],[1 seater]]/2+Table1[[#This Row],[2 seater]]+Table1[[#This Row],[3 seater]],0)</f>
        <v>19</v>
      </c>
      <c r="G17">
        <f t="shared" si="0"/>
        <v>39</v>
      </c>
    </row>
    <row r="18" spans="1:7" x14ac:dyDescent="0.25">
      <c r="A18" t="s">
        <v>13</v>
      </c>
      <c r="B18">
        <v>203</v>
      </c>
      <c r="C18">
        <v>41</v>
      </c>
      <c r="D18">
        <v>0</v>
      </c>
      <c r="E18">
        <v>0</v>
      </c>
      <c r="F18">
        <f>ROUNDDOWN(Table1[[#This Row],[1 seater]]/2+Table1[[#This Row],[2 seater]]+Table1[[#This Row],[3 seater]],0)</f>
        <v>20</v>
      </c>
      <c r="G18">
        <f t="shared" si="0"/>
        <v>41</v>
      </c>
    </row>
    <row r="19" spans="1:7" x14ac:dyDescent="0.25">
      <c r="A19" t="s">
        <v>13</v>
      </c>
      <c r="B19" t="s">
        <v>14</v>
      </c>
      <c r="C19">
        <v>145</v>
      </c>
      <c r="D19">
        <v>0</v>
      </c>
      <c r="E19">
        <v>0</v>
      </c>
      <c r="F19">
        <f>ROUNDDOWN(Table1[[#This Row],[1 seater]]/2+Table1[[#This Row],[2 seater]]+Table1[[#This Row],[3 seater]],0)</f>
        <v>72</v>
      </c>
      <c r="G19">
        <f t="shared" si="0"/>
        <v>145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2023-09-09T12:08:09Z</dcterms:modified>
</cp:coreProperties>
</file>