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filterPrivacy="1"/>
  <xr:revisionPtr revIDLastSave="0" documentId="13_ncr:1_{77FCF82B-F166-F340-8541-7DECDA2B0F71}" xr6:coauthVersionLast="47" xr6:coauthVersionMax="47" xr10:uidLastSave="{00000000-0000-0000-0000-000000000000}"/>
  <bookViews>
    <workbookView xWindow="0" yWindow="760" windowWidth="30240" windowHeight="17440" activeTab="2" xr2:uid="{00000000-000D-0000-FFFF-FFFF00000000}"/>
  </bookViews>
  <sheets>
    <sheet name="Resources" sheetId="1" r:id="rId1"/>
    <sheet name="Events" sheetId="3" r:id="rId2"/>
    <sheet name="Sheet1" sheetId="4" r:id="rId3"/>
    <sheet name="Building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C242" i="4"/>
  <c r="C240" i="4"/>
  <c r="C223" i="4"/>
  <c r="C221" i="4"/>
  <c r="C214" i="4"/>
  <c r="C212" i="4"/>
  <c r="C204" i="4"/>
  <c r="C186" i="4"/>
  <c r="C177" i="4"/>
  <c r="C162" i="4"/>
  <c r="C131" i="4"/>
  <c r="C123" i="4"/>
  <c r="C118" i="4"/>
  <c r="C101" i="4"/>
  <c r="C98" i="4"/>
  <c r="C69" i="4"/>
  <c r="C68" i="4"/>
  <c r="C67" i="4"/>
  <c r="C275" i="4"/>
  <c r="C272" i="4"/>
  <c r="C261" i="4"/>
  <c r="C249" i="4"/>
  <c r="C244" i="4"/>
  <c r="C239" i="4"/>
  <c r="C220" i="4"/>
  <c r="C217" i="4"/>
  <c r="C195" i="4"/>
  <c r="C184" i="4"/>
  <c r="C169" i="4"/>
  <c r="C122" i="4"/>
  <c r="C114" i="4"/>
  <c r="C96" i="4"/>
  <c r="C66" i="4"/>
  <c r="C287" i="4"/>
  <c r="C274" i="4"/>
  <c r="C269" i="4"/>
  <c r="C268" i="4"/>
  <c r="C267" i="4"/>
  <c r="C263" i="4"/>
  <c r="C226" i="4"/>
  <c r="C216" i="4"/>
  <c r="C205" i="4"/>
  <c r="C194" i="4"/>
  <c r="C187" i="4"/>
  <c r="C182" i="4"/>
  <c r="C165" i="4"/>
  <c r="C164" i="4"/>
  <c r="C121" i="4"/>
  <c r="C119" i="4"/>
  <c r="C103" i="4"/>
  <c r="C102" i="4"/>
  <c r="C95" i="4"/>
  <c r="C93" i="4"/>
  <c r="C81" i="4"/>
  <c r="C70" i="4"/>
  <c r="C65" i="4"/>
  <c r="C64" i="4"/>
  <c r="C63" i="4"/>
  <c r="C62" i="4"/>
  <c r="C61" i="4"/>
  <c r="C293" i="4"/>
  <c r="C288" i="4"/>
  <c r="C276" i="4"/>
  <c r="C243" i="4"/>
  <c r="C235" i="4"/>
  <c r="C215" i="4"/>
  <c r="C197" i="4"/>
  <c r="C185" i="4"/>
  <c r="C183" i="4"/>
  <c r="C168" i="4"/>
  <c r="C166" i="4"/>
  <c r="C161" i="4"/>
  <c r="C160" i="4"/>
  <c r="C149" i="4"/>
  <c r="C135" i="4"/>
  <c r="C106" i="4"/>
  <c r="C97" i="4"/>
  <c r="C84" i="4"/>
  <c r="C57" i="4"/>
  <c r="C47" i="4"/>
  <c r="C46" i="4"/>
  <c r="C45" i="4"/>
  <c r="C294" i="4"/>
  <c r="C283" i="4"/>
  <c r="C282" i="4"/>
  <c r="C278" i="4"/>
  <c r="C266" i="4"/>
  <c r="C264" i="4"/>
  <c r="C258" i="4"/>
  <c r="C256" i="4"/>
  <c r="C252" i="4"/>
  <c r="C251" i="4"/>
  <c r="C245" i="4"/>
  <c r="C241" i="4"/>
  <c r="C230" i="4"/>
  <c r="C218" i="4"/>
  <c r="C213" i="4"/>
  <c r="C211" i="4"/>
  <c r="C210" i="4"/>
  <c r="C207" i="4"/>
  <c r="C206" i="4"/>
  <c r="C198" i="4"/>
  <c r="C193" i="4"/>
  <c r="C180" i="4"/>
  <c r="C175" i="4"/>
  <c r="C171" i="4"/>
  <c r="C143" i="4"/>
  <c r="C142" i="4"/>
  <c r="C141" i="4"/>
  <c r="C112" i="4"/>
  <c r="C110" i="4"/>
  <c r="C76" i="4"/>
  <c r="C75" i="4"/>
  <c r="C71" i="4"/>
  <c r="C39" i="4"/>
  <c r="C38" i="4"/>
  <c r="C37" i="4"/>
  <c r="C36" i="4"/>
  <c r="C35" i="4"/>
  <c r="C284" i="4"/>
  <c r="C280" i="4"/>
  <c r="C277" i="4"/>
  <c r="C273" i="4"/>
  <c r="C265" i="4"/>
  <c r="C262" i="4"/>
  <c r="C260" i="4"/>
  <c r="C259" i="4"/>
  <c r="C255" i="4"/>
  <c r="C231" i="4"/>
  <c r="C222" i="4"/>
  <c r="C199" i="4"/>
  <c r="C196" i="4"/>
  <c r="C178" i="4"/>
  <c r="C176" i="4"/>
  <c r="C172" i="4"/>
  <c r="C156" i="4"/>
  <c r="C154" i="4"/>
  <c r="C144" i="4"/>
  <c r="C140" i="4"/>
  <c r="C134" i="4"/>
  <c r="C133" i="4"/>
  <c r="C111" i="4"/>
  <c r="C88" i="4"/>
  <c r="C87" i="4"/>
  <c r="C74" i="4"/>
  <c r="C34" i="4"/>
  <c r="C33" i="4"/>
  <c r="C32" i="4"/>
  <c r="C31" i="4"/>
  <c r="C28" i="4"/>
  <c r="C27" i="4"/>
  <c r="C26" i="4"/>
  <c r="C291" i="4"/>
  <c r="C290" i="4"/>
  <c r="C289" i="4"/>
  <c r="C286" i="4"/>
  <c r="C279" i="4"/>
  <c r="C253" i="4"/>
  <c r="C209" i="4"/>
  <c r="C208" i="4"/>
  <c r="C179" i="4"/>
  <c r="C174" i="4"/>
  <c r="C170" i="4"/>
  <c r="C163" i="4"/>
  <c r="C155" i="4"/>
  <c r="C145" i="4"/>
  <c r="C139" i="4"/>
  <c r="C132" i="4"/>
  <c r="C113" i="4"/>
  <c r="C109" i="4"/>
  <c r="C108" i="4"/>
  <c r="C107" i="4"/>
  <c r="C100" i="4"/>
  <c r="C73" i="4"/>
  <c r="C22" i="4"/>
  <c r="C21" i="4"/>
  <c r="C20" i="4"/>
  <c r="C16" i="4"/>
  <c r="C15" i="4"/>
  <c r="C14" i="4"/>
  <c r="C13" i="4"/>
  <c r="C2" i="4"/>
  <c r="C3" i="4"/>
  <c r="C4" i="4"/>
  <c r="C5" i="4"/>
  <c r="C6" i="4"/>
  <c r="C7" i="4"/>
  <c r="C8" i="4"/>
  <c r="C9" i="4"/>
  <c r="C72" i="4"/>
  <c r="C85" i="4"/>
  <c r="C86" i="4"/>
  <c r="C89" i="4"/>
  <c r="C92" i="4"/>
  <c r="C94" i="4"/>
  <c r="C99" i="4"/>
  <c r="C120" i="4"/>
  <c r="C124" i="4"/>
  <c r="C138" i="4"/>
  <c r="C150" i="4"/>
  <c r="C167" i="4"/>
  <c r="C173" i="4"/>
  <c r="C181" i="4"/>
  <c r="C188" i="4"/>
  <c r="C189" i="4"/>
  <c r="C219" i="4"/>
  <c r="C227" i="4"/>
  <c r="C228" i="4"/>
  <c r="C229" i="4"/>
  <c r="C250" i="4"/>
  <c r="C254" i="4"/>
  <c r="C257" i="4"/>
  <c r="C281" i="4"/>
  <c r="C285" i="4"/>
  <c r="C292" i="4"/>
</calcChain>
</file>

<file path=xl/sharedStrings.xml><?xml version="1.0" encoding="utf-8"?>
<sst xmlns="http://schemas.openxmlformats.org/spreadsheetml/2006/main" count="6605" uniqueCount="342">
  <si>
    <t>Resource Id*</t>
  </si>
  <si>
    <t>Resource Name*</t>
  </si>
  <si>
    <t xml:space="preserve">Building Id* </t>
  </si>
  <si>
    <t>Resource Category*</t>
  </si>
  <si>
    <t>Resource Type</t>
  </si>
  <si>
    <t>Floor Name*</t>
  </si>
  <si>
    <t xml:space="preserve">Capacity* </t>
  </si>
  <si>
    <t>Floor Section</t>
  </si>
  <si>
    <t>User Visible Description</t>
  </si>
  <si>
    <t>Description</t>
  </si>
  <si>
    <t>Autogenerated name</t>
  </si>
  <si>
    <t>Building Id*</t>
  </si>
  <si>
    <t>Building Name</t>
  </si>
  <si>
    <t>Address*  </t>
  </si>
  <si>
    <t>Floors*</t>
  </si>
  <si>
    <t>Coordinates </t>
  </si>
  <si>
    <t>WALMI-Main</t>
  </si>
  <si>
    <t>WALMI-SP</t>
  </si>
  <si>
    <t>PC-CLT</t>
  </si>
  <si>
    <t>PC-CIF</t>
  </si>
  <si>
    <t>PC-CIL</t>
  </si>
  <si>
    <t>Central Instructional Lab@Permanent Campus</t>
  </si>
  <si>
    <t>Central Instrumentation Facility@Permanent Campus</t>
  </si>
  <si>
    <t>Central Learning Theatre@Permanent Campus</t>
  </si>
  <si>
    <t>SP Shed@WALMI Campus</t>
  </si>
  <si>
    <t>Main Building@WALMI Campus</t>
  </si>
  <si>
    <t>15.518865785758113, 74.92606112289748</t>
  </si>
  <si>
    <t>15.522945183886993, 74.9262532321245</t>
  </si>
  <si>
    <t>15.483732355787916, 74.93480411296872</t>
  </si>
  <si>
    <t>15.483184364392649, 74.93389216199017</t>
  </si>
  <si>
    <t>15.483267080167987, 74.93221846372367</t>
  </si>
  <si>
    <t>G, 1, 2</t>
  </si>
  <si>
    <t>G</t>
  </si>
  <si>
    <t>LG, UG, 1, 2, 3</t>
  </si>
  <si>
    <t>G, 1, 2, 3, 4</t>
  </si>
  <si>
    <t>Boardroom</t>
  </si>
  <si>
    <t>Meeting Room</t>
  </si>
  <si>
    <t>Auditorium</t>
  </si>
  <si>
    <t>Classroom</t>
  </si>
  <si>
    <t>Drawing Hall</t>
  </si>
  <si>
    <t>Physics Lab</t>
  </si>
  <si>
    <t>Workshop</t>
  </si>
  <si>
    <t>Admin</t>
  </si>
  <si>
    <t>Resource Manager</t>
  </si>
  <si>
    <t>director.office@iitdh.ac.in</t>
  </si>
  <si>
    <t>faculty@iitdh.ac.in</t>
  </si>
  <si>
    <t>Lab</t>
  </si>
  <si>
    <t>Computer Lab</t>
  </si>
  <si>
    <t>#Whiteboard</t>
  </si>
  <si>
    <t>#Chalkboard</t>
  </si>
  <si>
    <t>#Projector</t>
  </si>
  <si>
    <t>#Sound System</t>
  </si>
  <si>
    <t>#Laser Pointer</t>
  </si>
  <si>
    <t>#Video Conferencing</t>
  </si>
  <si>
    <t>#Chairs</t>
  </si>
  <si>
    <t>#Desklets</t>
  </si>
  <si>
    <t>#Benches</t>
  </si>
  <si>
    <t>Fluid Mechanics</t>
  </si>
  <si>
    <t>EMPE</t>
  </si>
  <si>
    <t>EE</t>
  </si>
  <si>
    <t>Measurement</t>
  </si>
  <si>
    <t>SoM</t>
  </si>
  <si>
    <t>Computational Mech</t>
  </si>
  <si>
    <t>Central Hall</t>
  </si>
  <si>
    <t>2B1</t>
  </si>
  <si>
    <t>2B2</t>
  </si>
  <si>
    <t>2A1</t>
  </si>
  <si>
    <t>2A2</t>
  </si>
  <si>
    <t>2B-DR1</t>
  </si>
  <si>
    <t>2B-DR3</t>
  </si>
  <si>
    <t>2A-DR4</t>
  </si>
  <si>
    <t>2B-DR2</t>
  </si>
  <si>
    <t>Garage 03</t>
  </si>
  <si>
    <t>Garage 08</t>
  </si>
  <si>
    <t>Lab 2</t>
  </si>
  <si>
    <t>SP-15</t>
  </si>
  <si>
    <t>SP-16</t>
  </si>
  <si>
    <t>SP-14</t>
  </si>
  <si>
    <t>SP-5</t>
  </si>
  <si>
    <t>Fire Lab</t>
  </si>
  <si>
    <t>ATD Lab</t>
  </si>
  <si>
    <t>Man. Pro Lab</t>
  </si>
  <si>
    <t>MMAE RnD</t>
  </si>
  <si>
    <t>IC Engine Lab</t>
  </si>
  <si>
    <t>Phy &amp; Chy Lab</t>
  </si>
  <si>
    <t>Electrical Lab</t>
  </si>
  <si>
    <t>UG</t>
  </si>
  <si>
    <t>UG1</t>
  </si>
  <si>
    <t>UG2</t>
  </si>
  <si>
    <t>UG3</t>
  </si>
  <si>
    <t>UG4</t>
  </si>
  <si>
    <t>UG5</t>
  </si>
  <si>
    <t>UG6</t>
  </si>
  <si>
    <t>F300</t>
  </si>
  <si>
    <t>SP-2</t>
  </si>
  <si>
    <t>Resource Booker</t>
  </si>
  <si>
    <t>SP-1</t>
  </si>
  <si>
    <t>Acad</t>
  </si>
  <si>
    <t>Discussion Room</t>
  </si>
  <si>
    <t>Octagonal Hall</t>
  </si>
  <si>
    <t>CONFERENCE_ROOM</t>
  </si>
  <si>
    <t>Permissions for IIT Dharwad</t>
  </si>
  <si>
    <t>Free/busy only</t>
  </si>
  <si>
    <t>See all details</t>
  </si>
  <si>
    <t>fic.ap.ug@iitdh.ac.in</t>
  </si>
  <si>
    <t>fa.fw.admin@iitdh.ac.in</t>
  </si>
  <si>
    <t>faculty@iitdh.ac.in, dean.fw.office@iitdh.ac.in</t>
  </si>
  <si>
    <t>faculty@iitdh.ac.in, academicstaff@iitdh.ac.in</t>
  </si>
  <si>
    <t>Subject</t>
  </si>
  <si>
    <t>Start Date</t>
  </si>
  <si>
    <t>Start Time</t>
  </si>
  <si>
    <t>End Date</t>
  </si>
  <si>
    <t>End Time</t>
  </si>
  <si>
    <t>All day event</t>
  </si>
  <si>
    <t>Location</t>
  </si>
  <si>
    <t>Private</t>
  </si>
  <si>
    <t>CH 204</t>
  </si>
  <si>
    <t>Physical Organic and Bioorganic Chemistry</t>
  </si>
  <si>
    <t>PC-CLT-UG-UG5</t>
  </si>
  <si>
    <t>MA 209</t>
  </si>
  <si>
    <t>Introduction to Probability Theory</t>
  </si>
  <si>
    <t>PH 103</t>
  </si>
  <si>
    <t>Waves, Oscillations &amp; Optics</t>
  </si>
  <si>
    <t>BB 301</t>
  </si>
  <si>
    <t>Basics of Cell Biology and Genetics</t>
  </si>
  <si>
    <t>PC-CLT-UG-UG1</t>
  </si>
  <si>
    <t>HS 201</t>
  </si>
  <si>
    <t>PC-CLT-1-F300</t>
  </si>
  <si>
    <t>Economics</t>
  </si>
  <si>
    <t>MA 223</t>
  </si>
  <si>
    <t>Mathematics Laboratory</t>
  </si>
  <si>
    <t>ME 203</t>
  </si>
  <si>
    <t>PC-CLT-UG-UG3</t>
  </si>
  <si>
    <t>CL 201</t>
  </si>
  <si>
    <t>PC-CLT-UG-UG7</t>
  </si>
  <si>
    <t>Introduction to Transport Phenomena</t>
  </si>
  <si>
    <t>CL 204</t>
  </si>
  <si>
    <t>Thermodynamics for Chemical Engineers</t>
  </si>
  <si>
    <t>ME 201</t>
  </si>
  <si>
    <t>Engineering Mechanics</t>
  </si>
  <si>
    <t>EE 227</t>
  </si>
  <si>
    <t>Data Analysis</t>
  </si>
  <si>
    <t>CL 211</t>
  </si>
  <si>
    <t>Chemical Engineering lab - I</t>
  </si>
  <si>
    <t>ME 222</t>
  </si>
  <si>
    <t>Mechanics of Materials</t>
  </si>
  <si>
    <t>CE 202</t>
  </si>
  <si>
    <t>Surveying &amp; Geomatics</t>
  </si>
  <si>
    <t>PC-CLT-UG-UG6</t>
  </si>
  <si>
    <t>CE 201</t>
  </si>
  <si>
    <t>Building &amp; Construction Materials</t>
  </si>
  <si>
    <t>CE 203</t>
  </si>
  <si>
    <t>Building Planning &amp; Drawing</t>
  </si>
  <si>
    <t>CS 205</t>
  </si>
  <si>
    <t>Design and analysis of algorithms</t>
  </si>
  <si>
    <t>PC-CLT-UG-UG2</t>
  </si>
  <si>
    <t>CS 203</t>
  </si>
  <si>
    <t>Discrete structures</t>
  </si>
  <si>
    <t>CS 213</t>
  </si>
  <si>
    <t>Software Systems Lab</t>
  </si>
  <si>
    <t>CS 303</t>
  </si>
  <si>
    <t>Database &amp; Information sytems</t>
  </si>
  <si>
    <t>CS 301</t>
  </si>
  <si>
    <t>Computer Architecture</t>
  </si>
  <si>
    <t>CS 311</t>
  </si>
  <si>
    <t>Computer Architecture Lab</t>
  </si>
  <si>
    <t>CS 313</t>
  </si>
  <si>
    <t>Database &amp; Information Systems Lab</t>
  </si>
  <si>
    <t>EE 202</t>
  </si>
  <si>
    <t>Introduction to Analog Circuits</t>
  </si>
  <si>
    <t>EE 205</t>
  </si>
  <si>
    <t>Network Theory</t>
  </si>
  <si>
    <t>MA 203</t>
  </si>
  <si>
    <t>Differential Equations II</t>
  </si>
  <si>
    <t>EE 210</t>
  </si>
  <si>
    <t>Signals &amp; Systems</t>
  </si>
  <si>
    <t>EE 325</t>
  </si>
  <si>
    <t>Microprocessors and Microcontrollers</t>
  </si>
  <si>
    <t>EE 311</t>
  </si>
  <si>
    <t>Electrical Machines and Power Electronics Lab</t>
  </si>
  <si>
    <t>EE 315</t>
  </si>
  <si>
    <t>Digital signal processing lab</t>
  </si>
  <si>
    <t>Microprocessors and Microcontrollers lab</t>
  </si>
  <si>
    <t>EE 319</t>
  </si>
  <si>
    <t>ME 207</t>
  </si>
  <si>
    <t>Thermodynamics</t>
  </si>
  <si>
    <t>PH 201</t>
  </si>
  <si>
    <t>Electrodynamics</t>
  </si>
  <si>
    <t>PH 211</t>
  </si>
  <si>
    <t>Introductory Physics Laboratory</t>
  </si>
  <si>
    <t>PH 304</t>
  </si>
  <si>
    <t>Statistical Physics</t>
  </si>
  <si>
    <t>PH 302</t>
  </si>
  <si>
    <t>Quantum Mechanics - II</t>
  </si>
  <si>
    <t>CS 403</t>
  </si>
  <si>
    <t>Graph Theory and Combinatorics</t>
  </si>
  <si>
    <t>ME 204</t>
  </si>
  <si>
    <t>Manufacturing Processes - I</t>
  </si>
  <si>
    <t>ME 212</t>
  </si>
  <si>
    <t>Manufacturing processes and Metrology Laboratory</t>
  </si>
  <si>
    <t>ME 205</t>
  </si>
  <si>
    <t>Machine Drawing and 3D Modelling Laboratory</t>
  </si>
  <si>
    <t>ME 223</t>
  </si>
  <si>
    <t>Manufacturing Processes - II</t>
  </si>
  <si>
    <t>ME 309</t>
  </si>
  <si>
    <t>Theory of Machines</t>
  </si>
  <si>
    <t>ME 324</t>
  </si>
  <si>
    <t>Design of Machine Elements</t>
  </si>
  <si>
    <t>ME 220</t>
  </si>
  <si>
    <t>Heat Transfer</t>
  </si>
  <si>
    <t>ME 312</t>
  </si>
  <si>
    <t>Solid Mechanics Laboratory</t>
  </si>
  <si>
    <t>ME 311</t>
  </si>
  <si>
    <t>Mechanical Measurements Laboratory</t>
  </si>
  <si>
    <t>ME 316</t>
  </si>
  <si>
    <t>Applied Thermodynamics Lab</t>
  </si>
  <si>
    <t>CH 102</t>
  </si>
  <si>
    <t>Concepts and Applications of Chemistry</t>
  </si>
  <si>
    <t>PH 101</t>
  </si>
  <si>
    <t>Quantum physics and Applications</t>
  </si>
  <si>
    <t>MA 101</t>
  </si>
  <si>
    <t>Calculus</t>
  </si>
  <si>
    <t>CS 101</t>
  </si>
  <si>
    <t>Computer Programming</t>
  </si>
  <si>
    <t>PC-CLT-UG-UG4</t>
  </si>
  <si>
    <t>BB 103</t>
  </si>
  <si>
    <t>Introduction to Modern Biology</t>
  </si>
  <si>
    <t>HS 106</t>
  </si>
  <si>
    <t>Design Thinking and Creativity</t>
  </si>
  <si>
    <t>PH 113</t>
  </si>
  <si>
    <t>Hands-on Science Laboratory</t>
  </si>
  <si>
    <t>EE 622</t>
  </si>
  <si>
    <t>Multivariable control systems</t>
  </si>
  <si>
    <t>WALMI-Main-2-Acad-203</t>
  </si>
  <si>
    <t>PH 425</t>
  </si>
  <si>
    <t>Hydrogen Technology</t>
  </si>
  <si>
    <t>WALMI-Main-1-Acad-115</t>
  </si>
  <si>
    <t>CS 810</t>
  </si>
  <si>
    <t>Advanced Computer Architecture</t>
  </si>
  <si>
    <t>CS 609</t>
  </si>
  <si>
    <t>Software Defined Networking and Network Function Virtualization</t>
  </si>
  <si>
    <t>WALMI-Main-2-Acad-215</t>
  </si>
  <si>
    <t>WALMI-Main-G-Acad-22</t>
  </si>
  <si>
    <t>WALMI-Main-1-Acad-117</t>
  </si>
  <si>
    <t>WALMI-Main-G-Acad-23</t>
  </si>
  <si>
    <t>ME 605</t>
  </si>
  <si>
    <t>Additive and Forming Manufacturing Processes</t>
  </si>
  <si>
    <t>WALMI-Main-2-Acad-214</t>
  </si>
  <si>
    <t>EE 601</t>
  </si>
  <si>
    <t>Analog IC Design</t>
  </si>
  <si>
    <t>EE 621</t>
  </si>
  <si>
    <t>Speech Processing</t>
  </si>
  <si>
    <t>CS 601</t>
  </si>
  <si>
    <t>Software Development for Scientific Computing</t>
  </si>
  <si>
    <t>CS 621</t>
  </si>
  <si>
    <t>Logic and applications</t>
  </si>
  <si>
    <t>HS 433</t>
  </si>
  <si>
    <t>Indian Knowledge System-1</t>
  </si>
  <si>
    <t>WALMI-Main-G-Admin-Auditorium</t>
  </si>
  <si>
    <t>EE 634</t>
  </si>
  <si>
    <t>Linear Algebra and its Applications</t>
  </si>
  <si>
    <t>HS 409</t>
  </si>
  <si>
    <t>Philosophy</t>
  </si>
  <si>
    <t>HS 425</t>
  </si>
  <si>
    <t>Sociology</t>
  </si>
  <si>
    <t>ME 607</t>
  </si>
  <si>
    <t>Advanced Solid Mechanics</t>
  </si>
  <si>
    <t>PH 402</t>
  </si>
  <si>
    <t>Astrophysics</t>
  </si>
  <si>
    <t>HS 501</t>
  </si>
  <si>
    <t>Communication skills</t>
  </si>
  <si>
    <t>EE 607</t>
  </si>
  <si>
    <t>Power system dynamics and control</t>
  </si>
  <si>
    <t>ME 446</t>
  </si>
  <si>
    <t>Industrial Hydraulics and Pneumatics</t>
  </si>
  <si>
    <t>ME 608</t>
  </si>
  <si>
    <t>Advanced Mechanisms and Dynamics of Mechanical Systems</t>
  </si>
  <si>
    <t>EE 689</t>
  </si>
  <si>
    <t>Semiconductor Radiation Detectors</t>
  </si>
  <si>
    <t>EE 610</t>
  </si>
  <si>
    <t>VLSI Design</t>
  </si>
  <si>
    <t>ME 609</t>
  </si>
  <si>
    <t>Advanced Fluid Mechanics and Heat Transfer</t>
  </si>
  <si>
    <t>EE 629</t>
  </si>
  <si>
    <t>Probability Models and Applications (PMA)</t>
  </si>
  <si>
    <t>EE 688</t>
  </si>
  <si>
    <t>Physics of Transistor</t>
  </si>
  <si>
    <t>ME 421</t>
  </si>
  <si>
    <t>Turbomachines</t>
  </si>
  <si>
    <t>ME 643</t>
  </si>
  <si>
    <t>Finite Element Analysis</t>
  </si>
  <si>
    <t>CS 607</t>
  </si>
  <si>
    <t>Advanced Computer Networks</t>
  </si>
  <si>
    <t>WALMI-Main-G-Acad-21</t>
  </si>
  <si>
    <t>ME 903</t>
  </si>
  <si>
    <t>Engineering Mathematics for Advanced Studies</t>
  </si>
  <si>
    <t>EE 690</t>
  </si>
  <si>
    <t>Embedded systems Design</t>
  </si>
  <si>
    <t>EE 613</t>
  </si>
  <si>
    <t>Speech Processing Laboratory</t>
  </si>
  <si>
    <t>ME 412</t>
  </si>
  <si>
    <t>Energy and Environment Lab</t>
  </si>
  <si>
    <t>EE 631</t>
  </si>
  <si>
    <t>Advanced Electric drives</t>
  </si>
  <si>
    <t>EE 420</t>
  </si>
  <si>
    <t>Digital Communication and Coding Theory</t>
  </si>
  <si>
    <t>WALMI-Main-1-Acad-119</t>
  </si>
  <si>
    <t>EE 691</t>
  </si>
  <si>
    <t>Design of photovoltaic systems</t>
  </si>
  <si>
    <t>Day</t>
  </si>
  <si>
    <t>Mon</t>
  </si>
  <si>
    <t>UG5 (PC)</t>
  </si>
  <si>
    <t>UG2 (PC)</t>
  </si>
  <si>
    <t>UG1 (PC)</t>
  </si>
  <si>
    <t>UG4 (PC)</t>
  </si>
  <si>
    <t>UG6 (PC)</t>
  </si>
  <si>
    <t>Tue</t>
  </si>
  <si>
    <t>Wed</t>
  </si>
  <si>
    <t>Thu</t>
  </si>
  <si>
    <t>Fri</t>
  </si>
  <si>
    <t>UG3 (PC)</t>
  </si>
  <si>
    <t>UG7 (PC)</t>
  </si>
  <si>
    <t>F300 (PC)</t>
  </si>
  <si>
    <t>23 (WALMI)</t>
  </si>
  <si>
    <t>203 (WALMI)</t>
  </si>
  <si>
    <t>117 (WALMI)</t>
  </si>
  <si>
    <t>22 (WALMI)</t>
  </si>
  <si>
    <t>115 (WALMI)</t>
  </si>
  <si>
    <t>214 (WALMI)</t>
  </si>
  <si>
    <t>Auditorium (WALMI)</t>
  </si>
  <si>
    <t>21 (WALMI)</t>
  </si>
  <si>
    <t>215 (WALMI)</t>
  </si>
  <si>
    <t>219 (WALMI)</t>
  </si>
  <si>
    <t>Lab (WALMI)</t>
  </si>
  <si>
    <t>Lab (PC)</t>
  </si>
  <si>
    <t>Slot</t>
  </si>
  <si>
    <t>Venue</t>
  </si>
  <si>
    <t>Count</t>
  </si>
  <si>
    <t>ME 305</t>
  </si>
  <si>
    <t>ME 218</t>
  </si>
  <si>
    <t>Course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</si>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</sst>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"/>
    <numFmt numFmtId="165" formatCode="ddd\,\ dd/mmm/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0" fillId="0" borderId="0" xfId="0" applyAlignment="1">
      <alignment vertical="top" textRotation="90"/>
    </xf>
    <xf numFmtId="18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left" vertical="top"/>
    </xf>
    <xf numFmtId="18" fontId="0" fillId="0" borderId="0" xfId="0" applyNumberFormat="1" applyAlignment="1">
      <alignment wrapText="1"/>
    </xf>
    <xf numFmtId="0" fontId="3" fillId="0" borderId="0" xfId="0" applyFont="1"/>
    <xf numFmtId="0" fontId="4" fillId="0" borderId="0" xfId="0" applyFont="1" applyAlignment="1" applyProtection="1">
      <alignment wrapText="1"/>
      <protection locked="0"/>
    </xf>
    <xf numFmtId="165" fontId="4" fillId="0" borderId="0" xfId="0" applyNumberFormat="1" applyFont="1" applyAlignment="1" applyProtection="1">
      <alignment wrapText="1"/>
      <protection locked="0"/>
    </xf>
    <xf numFmtId="18" fontId="4" fillId="0" borderId="0" xfId="0" applyNumberFormat="1" applyFont="1" applyAlignment="1" applyProtection="1">
      <alignment wrapText="1"/>
      <protection locked="0"/>
    </xf>
    <xf numFmtId="0" fontId="4" fillId="0" borderId="0" xfId="0" applyFont="1"/>
    <xf numFmtId="0" fontId="4" fillId="2" borderId="0" xfId="0" applyFont="1" applyFill="1"/>
    <xf numFmtId="0" fontId="4" fillId="0" borderId="0" xfId="0" applyFont="1" applyProtection="1">
      <protection locked="0"/>
    </xf>
    <xf numFmtId="18" fontId="4" fillId="0" borderId="0" xfId="0" applyNumberFormat="1" applyFont="1" applyProtection="1">
      <protection locked="0"/>
    </xf>
    <xf numFmtId="14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</cellXfs>
  <cellStyles count="2">
    <cellStyle name="Hyperlink" xfId="1" builtinId="8"/>
    <cellStyle name="Normal" xfId="0" builtinId="0"/>
  </cellStyles>
  <dxfs count="20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auto="1"/>
          <bgColor auto="1"/>
        </patternFill>
      </fill>
      <alignment horizontal="general" vertical="bottom" textRotation="0" indent="0" justifyLastLine="0" shrinkToFit="0" readingOrder="0"/>
      <protection locked="0" hidden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166" formatCode="hh:mm\ AM/PM"/>
    </dxf>
    <dxf>
      <numFmt numFmtId="166" formatCode="hh:mm\ AM/PM"/>
      <alignment horizontal="general" vertical="bottom" textRotation="0" wrapText="1" indent="0" justifyLastLine="0" shrinkToFit="0" readingOrder="0"/>
    </dxf>
    <dxf>
      <numFmt numFmtId="166" formatCode="hh:mm\ AM/PM"/>
    </dxf>
    <dxf>
      <numFmt numFmtId="164" formatCode="mm\/dd\/yy"/>
    </dxf>
    <dxf>
      <numFmt numFmtId="166" formatCode="hh:mm\ AM/PM"/>
    </dxf>
    <dxf>
      <numFmt numFmtId="164" formatCode="mm\/dd\/yy"/>
    </dxf>
    <dxf>
      <numFmt numFmtId="166" formatCode="hh:mm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ebajel/Documents/Education/Great/Data/Latest_Data.xlsx" TargetMode="External"/><Relationship Id="rId1" Type="http://schemas.openxmlformats.org/officeDocument/2006/relationships/externalLinkPath" Target="Latest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rses-test"/>
      <sheetName val="Registrations-test"/>
      <sheetName val="Venues-test"/>
      <sheetName val="Venues-test2"/>
      <sheetName val="Venues-test3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54" totalsRowShown="0">
  <autoFilter ref="A1:W54" xr:uid="{00000000-0009-0000-0100-000001000000}"/>
  <sortState xmlns:xlrd2="http://schemas.microsoft.com/office/spreadsheetml/2017/richdata2" ref="A9:W54">
    <sortCondition ref="U1:U54"/>
  </sortState>
  <tableColumns count="23">
    <tableColumn id="1" xr3:uid="{00000000-0010-0000-0000-000001000000}" name="Resource Id*"/>
    <tableColumn id="2" xr3:uid="{00000000-0010-0000-0000-000002000000}" name="Resource Name*"/>
    <tableColumn id="3" xr3:uid="{00000000-0010-0000-0000-000003000000}" name="Building Id* "/>
    <tableColumn id="4" xr3:uid="{00000000-0010-0000-0000-000004000000}" name="Resource Category*"/>
    <tableColumn id="5" xr3:uid="{00000000-0010-0000-0000-000005000000}" name="Resource Type"/>
    <tableColumn id="6" xr3:uid="{00000000-0010-0000-0000-000006000000}" name="Floor Name*"/>
    <tableColumn id="7" xr3:uid="{00000000-0010-0000-0000-000007000000}" name="Capacity* "/>
    <tableColumn id="8" xr3:uid="{00000000-0010-0000-0000-000008000000}" name="Floor Section"/>
    <tableColumn id="9" xr3:uid="{00000000-0010-0000-0000-000009000000}" name="User Visible Description"/>
    <tableColumn id="10" xr3:uid="{00000000-0010-0000-0000-00000A000000}" name="Description"/>
    <tableColumn id="11" xr3:uid="{00000000-0010-0000-0000-00000B000000}" name="#Whiteboard"/>
    <tableColumn id="12" xr3:uid="{00000000-0010-0000-0000-00000C000000}" name="#Chalkboard"/>
    <tableColumn id="13" xr3:uid="{00000000-0010-0000-0000-00000D000000}" name="#Projector"/>
    <tableColumn id="14" xr3:uid="{00000000-0010-0000-0000-00000E000000}" name="#Sound System"/>
    <tableColumn id="15" xr3:uid="{00000000-0010-0000-0000-00000F000000}" name="#Laser Pointer"/>
    <tableColumn id="16" xr3:uid="{00000000-0010-0000-0000-000010000000}" name="#Video Conferencing"/>
    <tableColumn id="17" xr3:uid="{00000000-0010-0000-0000-000011000000}" name="#Chairs"/>
    <tableColumn id="18" xr3:uid="{00000000-0010-0000-0000-000012000000}" name="#Desklets"/>
    <tableColumn id="19" xr3:uid="{00000000-0010-0000-0000-000013000000}" name="#Benches"/>
    <tableColumn id="20" xr3:uid="{00000000-0010-0000-0000-000014000000}" name="Autogenerated name"/>
    <tableColumn id="21" xr3:uid="{00000000-0010-0000-0000-000015000000}" name="Resource Manager"/>
    <tableColumn id="22" xr3:uid="{00000000-0010-0000-0000-000016000000}" name="Resource Booker"/>
    <tableColumn id="24" xr3:uid="{00000000-0010-0000-0000-000018000000}" name="Permissions for IIT Dharwa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I1716">
  <autoFilter ref="A1:I1716" xr:uid="{00000000-0009-0000-0100-000003000000}">
    <filterColumn colId="0">
      <filters>
        <filter val="HS 106"/>
      </filters>
    </filterColumn>
  </autoFilter>
  <sortState xmlns:xlrd2="http://schemas.microsoft.com/office/spreadsheetml/2017/richdata2" ref="A2:I1255">
    <sortCondition ref="C1:C1716"/>
  </sortState>
  <tableColumns count="9">
    <tableColumn id="1" xr3:uid="{00000000-0010-0000-0100-000001000000}" name="Subject" dataDxfId="19"/>
    <tableColumn id="2" xr3:uid="{00000000-0010-0000-0100-000002000000}" name="Start Date" totalsRowFunction="custom" dataDxfId="18">
      <totalsRowFormula>B359+7</totalsRowFormula>
    </tableColumn>
    <tableColumn id="3" xr3:uid="{00000000-0010-0000-0100-000003000000}" name="Start Time" dataDxfId="17"/>
    <tableColumn id="4" xr3:uid="{00000000-0010-0000-0100-000004000000}" name="End Date" dataDxfId="16"/>
    <tableColumn id="5" xr3:uid="{00000000-0010-0000-0100-000005000000}" name="End Time" dataDxfId="15"/>
    <tableColumn id="6" xr3:uid="{00000000-0010-0000-0100-000006000000}" name="All day event"/>
    <tableColumn id="7" xr3:uid="{00000000-0010-0000-0100-000007000000}" name="Description" dataDxfId="14"/>
    <tableColumn id="8" xr3:uid="{00000000-0010-0000-0100-000008000000}" name="Location" dataDxfId="13"/>
    <tableColumn id="9" xr3:uid="{00000000-0010-0000-0100-000009000000}" name="Priva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9FA1E-6F6B-584D-901B-444008E177A4}" name="Table4" displayName="Table4" ref="A1:H294" totalsRowShown="0" headerRowDxfId="12" dataDxfId="10" headerRowBorderDxfId="11" tableBorderDxfId="9">
  <autoFilter ref="A1:H294" xr:uid="{7239FA1E-6F6B-584D-901B-444008E177A4}">
    <filterColumn colId="1">
      <filters>
        <filter val="ME 316"/>
        <filter val="CS 303"/>
      </filters>
    </filterColumn>
  </autoFilter>
  <tableColumns count="8">
    <tableColumn id="10" xr3:uid="{C8920EB4-755E-954E-99BA-8863FB4C0389}" name="Day" dataDxfId="8"/>
    <tableColumn id="1" xr3:uid="{BD582D4E-F965-9346-AA92-184D109C1C16}" name="Code" dataDxfId="7"/>
    <tableColumn id="14" xr3:uid="{745DCB13-157D-8C48-9B4B-1C12BD7DE04F}" name="Slot" dataDxfId="6">
      <calculatedColumnFormula>IF(AND(Table4[[#This Row],[Start Time]]=TIME(8, 30, 0), Table4[[#This Row],[End Time]]=TIME(9, 30, 0)), 0, 1)</calculatedColumnFormula>
    </tableColumn>
    <tableColumn id="7" xr3:uid="{6BA70A59-DDBA-8642-92B5-A15919D12F65}" name="Course" dataDxfId="5"/>
    <tableColumn id="8" xr3:uid="{FABD2012-ADD7-734D-B3C3-2183BD7F98C6}" name="Venue" dataDxfId="4"/>
    <tableColumn id="12" xr3:uid="{EC23500E-B29D-6D41-B364-BF7601AF100B}" name="Start Time" dataDxfId="3"/>
    <tableColumn id="13" xr3:uid="{14BCC078-18EB-534B-95FA-BC9F2F6A93D9}" name="End Time" dataDxfId="2"/>
    <tableColumn id="15" xr3:uid="{0323FB28-2184-E44C-B916-5E54EDF97A57}" name="Count" dataDxfId="1">
      <calculatedColumnFormula>COUNTIF([1]!Table1[Course
Code],Table4[[#This Row],[Code]])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F6" totalsRowShown="0">
  <autoFilter ref="A1:F6" xr:uid="{00000000-0009-0000-0100-000002000000}"/>
  <sortState xmlns:xlrd2="http://schemas.microsoft.com/office/spreadsheetml/2017/richdata2" ref="A2:F6">
    <sortCondition ref="B1:B6"/>
  </sortState>
  <tableColumns count="6">
    <tableColumn id="1" xr3:uid="{00000000-0010-0000-0200-000001000000}" name="Building Id*"/>
    <tableColumn id="2" xr3:uid="{00000000-0010-0000-0200-000002000000}" name="Building Name"/>
    <tableColumn id="3" xr3:uid="{00000000-0010-0000-0200-000003000000}" name="Address*  "/>
    <tableColumn id="4" xr3:uid="{00000000-0010-0000-0200-000004000000}" name="Floors*" dataDxfId="0"/>
    <tableColumn id="5" xr3:uid="{00000000-0010-0000-0200-000005000000}" name="Description"/>
    <tableColumn id="6" xr3:uid="{00000000-0010-0000-0200-000006000000}" name="Coordinates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irector.office@iitdh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workbookViewId="0"/>
  </sheetViews>
  <sheetFormatPr baseColWidth="10" defaultColWidth="8.83203125" defaultRowHeight="15" x14ac:dyDescent="0.2"/>
  <cols>
    <col min="1" max="1" width="14.5" bestFit="1" customWidth="1"/>
    <col min="2" max="2" width="18.33203125" bestFit="1" customWidth="1"/>
    <col min="3" max="3" width="14.1640625" bestFit="1" customWidth="1"/>
    <col min="4" max="4" width="21" bestFit="1" customWidth="1"/>
    <col min="5" max="5" width="16.33203125" bestFit="1" customWidth="1"/>
    <col min="6" max="6" width="14.5" bestFit="1" customWidth="1"/>
    <col min="7" max="7" width="12.1640625" bestFit="1" customWidth="1"/>
    <col min="8" max="8" width="14.83203125" bestFit="1" customWidth="1"/>
    <col min="9" max="9" width="25" bestFit="1" customWidth="1"/>
    <col min="10" max="10" width="13.5" bestFit="1" customWidth="1"/>
    <col min="11" max="19" width="3.6640625" bestFit="1" customWidth="1"/>
    <col min="20" max="20" width="22.5" bestFit="1" customWidth="1"/>
    <col min="21" max="21" width="25.1640625" bestFit="1" customWidth="1"/>
    <col min="22" max="22" width="18.33203125" bestFit="1" customWidth="1"/>
    <col min="23" max="23" width="28.5" bestFit="1" customWidth="1"/>
  </cols>
  <sheetData>
    <row r="1" spans="1:23" ht="114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t="s">
        <v>10</v>
      </c>
      <c r="U1" t="s">
        <v>43</v>
      </c>
      <c r="V1" t="s">
        <v>95</v>
      </c>
      <c r="W1" t="s">
        <v>101</v>
      </c>
    </row>
    <row r="2" spans="1:23" x14ac:dyDescent="0.2">
      <c r="B2" t="s">
        <v>93</v>
      </c>
      <c r="C2">
        <v>3</v>
      </c>
      <c r="D2" t="s">
        <v>100</v>
      </c>
      <c r="E2" t="s">
        <v>38</v>
      </c>
      <c r="F2">
        <v>1</v>
      </c>
      <c r="G2">
        <v>310</v>
      </c>
      <c r="U2" s="1" t="s">
        <v>104</v>
      </c>
      <c r="V2" s="1" t="s">
        <v>107</v>
      </c>
      <c r="W2" t="s">
        <v>103</v>
      </c>
    </row>
    <row r="3" spans="1:23" x14ac:dyDescent="0.2">
      <c r="B3" t="s">
        <v>87</v>
      </c>
      <c r="C3">
        <v>3</v>
      </c>
      <c r="D3" t="s">
        <v>100</v>
      </c>
      <c r="E3" t="s">
        <v>38</v>
      </c>
      <c r="F3" t="s">
        <v>86</v>
      </c>
      <c r="G3">
        <v>60</v>
      </c>
      <c r="U3" s="1" t="s">
        <v>104</v>
      </c>
      <c r="V3" s="1" t="s">
        <v>107</v>
      </c>
      <c r="W3" t="s">
        <v>103</v>
      </c>
    </row>
    <row r="4" spans="1:23" x14ac:dyDescent="0.2">
      <c r="B4" t="s">
        <v>88</v>
      </c>
      <c r="C4">
        <v>3</v>
      </c>
      <c r="D4" t="s">
        <v>100</v>
      </c>
      <c r="E4" t="s">
        <v>38</v>
      </c>
      <c r="F4" t="s">
        <v>86</v>
      </c>
      <c r="G4">
        <v>115</v>
      </c>
      <c r="U4" s="1" t="s">
        <v>104</v>
      </c>
      <c r="V4" s="1" t="s">
        <v>107</v>
      </c>
      <c r="W4" t="s">
        <v>103</v>
      </c>
    </row>
    <row r="5" spans="1:23" x14ac:dyDescent="0.2">
      <c r="B5" t="s">
        <v>89</v>
      </c>
      <c r="C5">
        <v>3</v>
      </c>
      <c r="D5" t="s">
        <v>100</v>
      </c>
      <c r="E5" t="s">
        <v>38</v>
      </c>
      <c r="F5" t="s">
        <v>86</v>
      </c>
      <c r="G5">
        <v>115</v>
      </c>
      <c r="U5" s="1" t="s">
        <v>104</v>
      </c>
      <c r="V5" s="1" t="s">
        <v>107</v>
      </c>
      <c r="W5" t="s">
        <v>103</v>
      </c>
    </row>
    <row r="6" spans="1:23" x14ac:dyDescent="0.2">
      <c r="B6" t="s">
        <v>90</v>
      </c>
      <c r="C6">
        <v>3</v>
      </c>
      <c r="D6" t="s">
        <v>100</v>
      </c>
      <c r="E6" t="s">
        <v>38</v>
      </c>
      <c r="F6" t="s">
        <v>86</v>
      </c>
      <c r="G6">
        <v>150</v>
      </c>
      <c r="U6" s="1" t="s">
        <v>104</v>
      </c>
      <c r="V6" s="1" t="s">
        <v>107</v>
      </c>
      <c r="W6" t="s">
        <v>103</v>
      </c>
    </row>
    <row r="7" spans="1:23" x14ac:dyDescent="0.2">
      <c r="B7" t="s">
        <v>91</v>
      </c>
      <c r="C7">
        <v>3</v>
      </c>
      <c r="D7" t="s">
        <v>100</v>
      </c>
      <c r="E7" t="s">
        <v>38</v>
      </c>
      <c r="F7" t="s">
        <v>86</v>
      </c>
      <c r="G7">
        <v>36</v>
      </c>
      <c r="U7" s="1" t="s">
        <v>104</v>
      </c>
      <c r="V7" s="1" t="s">
        <v>107</v>
      </c>
      <c r="W7" t="s">
        <v>103</v>
      </c>
    </row>
    <row r="8" spans="1:23" x14ac:dyDescent="0.2">
      <c r="B8" t="s">
        <v>92</v>
      </c>
      <c r="C8">
        <v>3</v>
      </c>
      <c r="D8" t="s">
        <v>100</v>
      </c>
      <c r="E8" t="s">
        <v>38</v>
      </c>
      <c r="F8" t="s">
        <v>86</v>
      </c>
      <c r="G8">
        <v>38</v>
      </c>
      <c r="U8" s="1" t="s">
        <v>104</v>
      </c>
      <c r="V8" s="1" t="s">
        <v>107</v>
      </c>
      <c r="W8" t="s">
        <v>103</v>
      </c>
    </row>
    <row r="9" spans="1:23" x14ac:dyDescent="0.2">
      <c r="B9">
        <v>21</v>
      </c>
      <c r="C9">
        <v>1</v>
      </c>
      <c r="D9" t="s">
        <v>100</v>
      </c>
      <c r="E9" t="s">
        <v>38</v>
      </c>
      <c r="F9" t="s">
        <v>32</v>
      </c>
      <c r="G9">
        <v>41</v>
      </c>
      <c r="H9" t="s">
        <v>97</v>
      </c>
      <c r="U9" s="1" t="s">
        <v>104</v>
      </c>
      <c r="V9" s="1" t="s">
        <v>107</v>
      </c>
      <c r="W9" t="s">
        <v>103</v>
      </c>
    </row>
    <row r="10" spans="1:23" x14ac:dyDescent="0.2">
      <c r="B10">
        <v>22</v>
      </c>
      <c r="C10">
        <v>1</v>
      </c>
      <c r="D10" t="s">
        <v>100</v>
      </c>
      <c r="E10" t="s">
        <v>38</v>
      </c>
      <c r="F10" t="s">
        <v>32</v>
      </c>
      <c r="G10">
        <v>72</v>
      </c>
      <c r="H10" t="s">
        <v>97</v>
      </c>
      <c r="U10" s="1" t="s">
        <v>104</v>
      </c>
      <c r="V10" s="1" t="s">
        <v>107</v>
      </c>
      <c r="W10" t="s">
        <v>103</v>
      </c>
    </row>
    <row r="11" spans="1:23" x14ac:dyDescent="0.2">
      <c r="B11">
        <v>23</v>
      </c>
      <c r="C11">
        <v>1</v>
      </c>
      <c r="D11" t="s">
        <v>100</v>
      </c>
      <c r="E11" t="s">
        <v>38</v>
      </c>
      <c r="F11" t="s">
        <v>32</v>
      </c>
      <c r="G11">
        <v>143</v>
      </c>
      <c r="H11" t="s">
        <v>97</v>
      </c>
      <c r="U11" s="1" t="s">
        <v>104</v>
      </c>
      <c r="V11" s="1" t="s">
        <v>107</v>
      </c>
      <c r="W11" t="s">
        <v>103</v>
      </c>
    </row>
    <row r="12" spans="1:23" x14ac:dyDescent="0.2">
      <c r="B12">
        <v>115</v>
      </c>
      <c r="C12">
        <v>1</v>
      </c>
      <c r="D12" t="s">
        <v>100</v>
      </c>
      <c r="E12" t="s">
        <v>38</v>
      </c>
      <c r="F12">
        <v>1</v>
      </c>
      <c r="G12">
        <v>70</v>
      </c>
      <c r="H12" t="s">
        <v>97</v>
      </c>
      <c r="U12" s="1" t="s">
        <v>104</v>
      </c>
      <c r="V12" s="1" t="s">
        <v>107</v>
      </c>
      <c r="W12" t="s">
        <v>103</v>
      </c>
    </row>
    <row r="13" spans="1:23" x14ac:dyDescent="0.2">
      <c r="B13">
        <v>117</v>
      </c>
      <c r="C13">
        <v>1</v>
      </c>
      <c r="D13" t="s">
        <v>100</v>
      </c>
      <c r="E13" t="s">
        <v>38</v>
      </c>
      <c r="F13">
        <v>1</v>
      </c>
      <c r="G13">
        <v>90</v>
      </c>
      <c r="H13" t="s">
        <v>97</v>
      </c>
      <c r="U13" s="1" t="s">
        <v>104</v>
      </c>
      <c r="V13" s="1" t="s">
        <v>107</v>
      </c>
      <c r="W13" t="s">
        <v>103</v>
      </c>
    </row>
    <row r="14" spans="1:23" x14ac:dyDescent="0.2">
      <c r="B14">
        <v>119</v>
      </c>
      <c r="C14">
        <v>1</v>
      </c>
      <c r="D14" t="s">
        <v>100</v>
      </c>
      <c r="E14" t="s">
        <v>38</v>
      </c>
      <c r="F14">
        <v>1</v>
      </c>
      <c r="G14">
        <v>56</v>
      </c>
      <c r="H14" t="s">
        <v>97</v>
      </c>
      <c r="U14" s="1" t="s">
        <v>104</v>
      </c>
      <c r="V14" s="1" t="s">
        <v>107</v>
      </c>
      <c r="W14" t="s">
        <v>103</v>
      </c>
    </row>
    <row r="15" spans="1:23" x14ac:dyDescent="0.2">
      <c r="B15">
        <v>203</v>
      </c>
      <c r="C15">
        <v>1</v>
      </c>
      <c r="D15" t="s">
        <v>100</v>
      </c>
      <c r="E15" t="s">
        <v>38</v>
      </c>
      <c r="F15">
        <v>2</v>
      </c>
      <c r="G15">
        <v>30</v>
      </c>
      <c r="H15" t="s">
        <v>97</v>
      </c>
      <c r="U15" s="1" t="s">
        <v>104</v>
      </c>
      <c r="V15" s="1" t="s">
        <v>107</v>
      </c>
      <c r="W15" t="s">
        <v>103</v>
      </c>
    </row>
    <row r="16" spans="1:23" x14ac:dyDescent="0.2">
      <c r="B16">
        <v>214</v>
      </c>
      <c r="C16">
        <v>1</v>
      </c>
      <c r="D16" t="s">
        <v>100</v>
      </c>
      <c r="E16" t="s">
        <v>38</v>
      </c>
      <c r="F16">
        <v>2</v>
      </c>
      <c r="G16">
        <v>40</v>
      </c>
      <c r="H16" t="s">
        <v>97</v>
      </c>
      <c r="U16" s="1" t="s">
        <v>104</v>
      </c>
      <c r="V16" s="1" t="s">
        <v>107</v>
      </c>
      <c r="W16" t="s">
        <v>103</v>
      </c>
    </row>
    <row r="17" spans="2:23" x14ac:dyDescent="0.2">
      <c r="B17">
        <v>215</v>
      </c>
      <c r="C17">
        <v>1</v>
      </c>
      <c r="D17" t="s">
        <v>100</v>
      </c>
      <c r="E17" t="s">
        <v>38</v>
      </c>
      <c r="F17">
        <v>2</v>
      </c>
      <c r="G17">
        <v>57</v>
      </c>
      <c r="H17" t="s">
        <v>97</v>
      </c>
      <c r="U17" s="1" t="s">
        <v>104</v>
      </c>
      <c r="V17" s="1" t="s">
        <v>107</v>
      </c>
      <c r="W17" t="s">
        <v>103</v>
      </c>
    </row>
    <row r="18" spans="2:23" x14ac:dyDescent="0.2">
      <c r="B18" t="s">
        <v>37</v>
      </c>
      <c r="C18">
        <v>1</v>
      </c>
      <c r="D18" t="s">
        <v>100</v>
      </c>
      <c r="E18" t="s">
        <v>38</v>
      </c>
      <c r="F18" t="s">
        <v>32</v>
      </c>
      <c r="G18">
        <v>200</v>
      </c>
      <c r="H18" t="s">
        <v>42</v>
      </c>
      <c r="U18" s="1" t="s">
        <v>104</v>
      </c>
      <c r="V18" s="1" t="s">
        <v>107</v>
      </c>
      <c r="W18" t="s">
        <v>103</v>
      </c>
    </row>
    <row r="19" spans="2:23" x14ac:dyDescent="0.2">
      <c r="B19">
        <v>401</v>
      </c>
      <c r="C19">
        <v>4</v>
      </c>
      <c r="D19" t="s">
        <v>100</v>
      </c>
      <c r="E19" t="s">
        <v>46</v>
      </c>
      <c r="F19">
        <v>4</v>
      </c>
      <c r="G19">
        <v>100</v>
      </c>
      <c r="U19" s="1" t="s">
        <v>104</v>
      </c>
      <c r="V19" s="1" t="s">
        <v>107</v>
      </c>
      <c r="W19" t="s">
        <v>103</v>
      </c>
    </row>
    <row r="20" spans="2:23" x14ac:dyDescent="0.2">
      <c r="B20">
        <v>402</v>
      </c>
      <c r="C20">
        <v>4</v>
      </c>
      <c r="D20" t="s">
        <v>100</v>
      </c>
      <c r="E20" t="s">
        <v>46</v>
      </c>
      <c r="F20">
        <v>4</v>
      </c>
      <c r="G20">
        <v>100</v>
      </c>
      <c r="U20" s="1" t="s">
        <v>104</v>
      </c>
      <c r="V20" s="1" t="s">
        <v>107</v>
      </c>
      <c r="W20" t="s">
        <v>103</v>
      </c>
    </row>
    <row r="21" spans="2:23" x14ac:dyDescent="0.2">
      <c r="B21">
        <v>24</v>
      </c>
      <c r="C21">
        <v>1</v>
      </c>
      <c r="D21" t="s">
        <v>100</v>
      </c>
      <c r="E21" t="s">
        <v>46</v>
      </c>
      <c r="F21" t="s">
        <v>32</v>
      </c>
      <c r="G21">
        <v>42</v>
      </c>
      <c r="H21" t="s">
        <v>97</v>
      </c>
      <c r="I21" t="s">
        <v>47</v>
      </c>
      <c r="U21" s="1" t="s">
        <v>104</v>
      </c>
      <c r="V21" s="1" t="s">
        <v>107</v>
      </c>
      <c r="W21" t="s">
        <v>103</v>
      </c>
    </row>
    <row r="22" spans="2:23" x14ac:dyDescent="0.2">
      <c r="B22">
        <v>27</v>
      </c>
      <c r="C22">
        <v>1</v>
      </c>
      <c r="D22" t="s">
        <v>100</v>
      </c>
      <c r="E22" t="s">
        <v>46</v>
      </c>
      <c r="F22" t="s">
        <v>32</v>
      </c>
      <c r="G22">
        <v>19</v>
      </c>
      <c r="H22" t="s">
        <v>97</v>
      </c>
      <c r="I22" t="s">
        <v>40</v>
      </c>
      <c r="U22" s="1" t="s">
        <v>104</v>
      </c>
      <c r="V22" s="1" t="s">
        <v>107</v>
      </c>
      <c r="W22" t="s">
        <v>103</v>
      </c>
    </row>
    <row r="23" spans="2:23" x14ac:dyDescent="0.2">
      <c r="B23">
        <v>29</v>
      </c>
      <c r="C23">
        <v>1</v>
      </c>
      <c r="D23" t="s">
        <v>100</v>
      </c>
      <c r="E23" t="s">
        <v>46</v>
      </c>
      <c r="F23" t="s">
        <v>32</v>
      </c>
      <c r="G23">
        <v>1</v>
      </c>
      <c r="H23" t="s">
        <v>97</v>
      </c>
      <c r="I23" t="s">
        <v>84</v>
      </c>
      <c r="U23" s="1" t="s">
        <v>104</v>
      </c>
      <c r="V23" s="1" t="s">
        <v>107</v>
      </c>
      <c r="W23" t="s">
        <v>103</v>
      </c>
    </row>
    <row r="24" spans="2:23" x14ac:dyDescent="0.2">
      <c r="B24">
        <v>116</v>
      </c>
      <c r="C24">
        <v>1</v>
      </c>
      <c r="D24" t="s">
        <v>100</v>
      </c>
      <c r="E24" t="s">
        <v>46</v>
      </c>
      <c r="F24">
        <v>1</v>
      </c>
      <c r="G24">
        <v>1</v>
      </c>
      <c r="H24" t="s">
        <v>97</v>
      </c>
      <c r="I24" t="s">
        <v>59</v>
      </c>
      <c r="U24" s="1" t="s">
        <v>104</v>
      </c>
      <c r="V24" s="1" t="s">
        <v>107</v>
      </c>
      <c r="W24" t="s">
        <v>103</v>
      </c>
    </row>
    <row r="25" spans="2:23" x14ac:dyDescent="0.2">
      <c r="B25">
        <v>118</v>
      </c>
      <c r="C25">
        <v>1</v>
      </c>
      <c r="D25" t="s">
        <v>100</v>
      </c>
      <c r="E25" t="s">
        <v>46</v>
      </c>
      <c r="F25">
        <v>1</v>
      </c>
      <c r="G25">
        <v>12</v>
      </c>
      <c r="H25" t="s">
        <v>97</v>
      </c>
      <c r="I25" t="s">
        <v>57</v>
      </c>
      <c r="U25" s="1" t="s">
        <v>104</v>
      </c>
      <c r="V25" s="1" t="s">
        <v>107</v>
      </c>
      <c r="W25" t="s">
        <v>103</v>
      </c>
    </row>
    <row r="26" spans="2:23" x14ac:dyDescent="0.2">
      <c r="B26">
        <v>120</v>
      </c>
      <c r="C26">
        <v>1</v>
      </c>
      <c r="D26" t="s">
        <v>100</v>
      </c>
      <c r="E26" t="s">
        <v>46</v>
      </c>
      <c r="F26">
        <v>1</v>
      </c>
      <c r="G26">
        <v>1</v>
      </c>
      <c r="H26" t="s">
        <v>97</v>
      </c>
      <c r="I26" t="s">
        <v>47</v>
      </c>
      <c r="U26" s="1" t="s">
        <v>104</v>
      </c>
      <c r="V26" s="1" t="s">
        <v>107</v>
      </c>
      <c r="W26" t="s">
        <v>103</v>
      </c>
    </row>
    <row r="27" spans="2:23" x14ac:dyDescent="0.2">
      <c r="B27">
        <v>121</v>
      </c>
      <c r="C27">
        <v>1</v>
      </c>
      <c r="D27" t="s">
        <v>100</v>
      </c>
      <c r="E27" t="s">
        <v>46</v>
      </c>
      <c r="F27">
        <v>1</v>
      </c>
      <c r="G27">
        <v>1</v>
      </c>
      <c r="H27" t="s">
        <v>97</v>
      </c>
      <c r="I27" t="s">
        <v>58</v>
      </c>
      <c r="U27" s="1" t="s">
        <v>104</v>
      </c>
      <c r="V27" s="1" t="s">
        <v>107</v>
      </c>
      <c r="W27" t="s">
        <v>103</v>
      </c>
    </row>
    <row r="28" spans="2:23" x14ac:dyDescent="0.2">
      <c r="B28">
        <v>202</v>
      </c>
      <c r="C28">
        <v>1</v>
      </c>
      <c r="D28" t="s">
        <v>100</v>
      </c>
      <c r="E28" t="s">
        <v>46</v>
      </c>
      <c r="F28">
        <v>2</v>
      </c>
      <c r="G28">
        <v>1</v>
      </c>
      <c r="H28" t="s">
        <v>97</v>
      </c>
      <c r="I28" t="s">
        <v>62</v>
      </c>
      <c r="U28" s="1" t="s">
        <v>104</v>
      </c>
      <c r="V28" s="1" t="s">
        <v>107</v>
      </c>
      <c r="W28" t="s">
        <v>103</v>
      </c>
    </row>
    <row r="29" spans="2:23" x14ac:dyDescent="0.2">
      <c r="B29">
        <v>206</v>
      </c>
      <c r="C29">
        <v>1</v>
      </c>
      <c r="D29" t="s">
        <v>100</v>
      </c>
      <c r="E29" t="s">
        <v>46</v>
      </c>
      <c r="F29">
        <v>2</v>
      </c>
      <c r="G29">
        <v>1</v>
      </c>
      <c r="H29" t="s">
        <v>97</v>
      </c>
      <c r="I29" t="s">
        <v>61</v>
      </c>
      <c r="U29" s="1" t="s">
        <v>104</v>
      </c>
      <c r="V29" s="1" t="s">
        <v>107</v>
      </c>
      <c r="W29" t="s">
        <v>103</v>
      </c>
    </row>
    <row r="30" spans="2:23" x14ac:dyDescent="0.2">
      <c r="B30">
        <v>216</v>
      </c>
      <c r="C30">
        <v>1</v>
      </c>
      <c r="D30" t="s">
        <v>100</v>
      </c>
      <c r="E30" t="s">
        <v>46</v>
      </c>
      <c r="F30">
        <v>2</v>
      </c>
      <c r="G30">
        <v>1</v>
      </c>
      <c r="H30" t="s">
        <v>97</v>
      </c>
      <c r="I30" t="s">
        <v>60</v>
      </c>
      <c r="U30" s="1" t="s">
        <v>104</v>
      </c>
      <c r="V30" s="1" t="s">
        <v>107</v>
      </c>
      <c r="W30" t="s">
        <v>103</v>
      </c>
    </row>
    <row r="31" spans="2:23" x14ac:dyDescent="0.2">
      <c r="B31" t="s">
        <v>41</v>
      </c>
      <c r="C31">
        <v>1</v>
      </c>
      <c r="D31" t="s">
        <v>100</v>
      </c>
      <c r="E31" t="s">
        <v>46</v>
      </c>
      <c r="F31" t="s">
        <v>32</v>
      </c>
      <c r="G31">
        <v>1</v>
      </c>
      <c r="H31" t="s">
        <v>97</v>
      </c>
      <c r="U31" s="1" t="s">
        <v>104</v>
      </c>
      <c r="V31" s="1" t="s">
        <v>107</v>
      </c>
      <c r="W31" t="s">
        <v>103</v>
      </c>
    </row>
    <row r="32" spans="2:23" x14ac:dyDescent="0.2">
      <c r="B32">
        <v>26</v>
      </c>
      <c r="C32">
        <v>1</v>
      </c>
      <c r="D32" t="s">
        <v>100</v>
      </c>
      <c r="E32" t="s">
        <v>46</v>
      </c>
      <c r="F32" t="s">
        <v>32</v>
      </c>
      <c r="G32">
        <v>1</v>
      </c>
      <c r="H32" t="s">
        <v>97</v>
      </c>
      <c r="I32" t="s">
        <v>39</v>
      </c>
      <c r="U32" s="1" t="s">
        <v>104</v>
      </c>
      <c r="V32" s="1" t="s">
        <v>107</v>
      </c>
      <c r="W32" t="s">
        <v>103</v>
      </c>
    </row>
    <row r="33" spans="2:23" x14ac:dyDescent="0.2">
      <c r="B33" t="s">
        <v>72</v>
      </c>
      <c r="C33">
        <v>2</v>
      </c>
      <c r="D33" t="s">
        <v>100</v>
      </c>
      <c r="E33" t="s">
        <v>46</v>
      </c>
      <c r="F33" t="s">
        <v>32</v>
      </c>
      <c r="G33">
        <v>1</v>
      </c>
      <c r="I33" t="s">
        <v>79</v>
      </c>
      <c r="U33" s="1" t="s">
        <v>104</v>
      </c>
      <c r="V33" s="1" t="s">
        <v>107</v>
      </c>
      <c r="W33" t="s">
        <v>103</v>
      </c>
    </row>
    <row r="34" spans="2:23" x14ac:dyDescent="0.2">
      <c r="B34" t="s">
        <v>73</v>
      </c>
      <c r="C34">
        <v>2</v>
      </c>
      <c r="D34" t="s">
        <v>100</v>
      </c>
      <c r="E34" t="s">
        <v>46</v>
      </c>
      <c r="F34" t="s">
        <v>32</v>
      </c>
      <c r="G34">
        <v>1</v>
      </c>
      <c r="I34" t="s">
        <v>80</v>
      </c>
      <c r="U34" s="1" t="s">
        <v>104</v>
      </c>
      <c r="V34" s="1" t="s">
        <v>107</v>
      </c>
      <c r="W34" t="s">
        <v>103</v>
      </c>
    </row>
    <row r="35" spans="2:23" x14ac:dyDescent="0.2">
      <c r="B35" t="s">
        <v>74</v>
      </c>
      <c r="C35">
        <v>2</v>
      </c>
      <c r="D35" t="s">
        <v>100</v>
      </c>
      <c r="E35" t="s">
        <v>46</v>
      </c>
      <c r="F35" t="s">
        <v>32</v>
      </c>
      <c r="G35">
        <v>1</v>
      </c>
      <c r="I35" t="s">
        <v>82</v>
      </c>
      <c r="U35" s="1" t="s">
        <v>104</v>
      </c>
      <c r="V35" s="1" t="s">
        <v>107</v>
      </c>
      <c r="W35" t="s">
        <v>103</v>
      </c>
    </row>
    <row r="36" spans="2:23" x14ac:dyDescent="0.2">
      <c r="B36" t="s">
        <v>96</v>
      </c>
      <c r="C36">
        <v>2</v>
      </c>
      <c r="D36" t="s">
        <v>100</v>
      </c>
      <c r="E36" t="s">
        <v>46</v>
      </c>
      <c r="F36" t="s">
        <v>32</v>
      </c>
      <c r="G36">
        <v>1</v>
      </c>
      <c r="I36" t="s">
        <v>83</v>
      </c>
      <c r="U36" s="1" t="s">
        <v>104</v>
      </c>
      <c r="V36" s="1" t="s">
        <v>107</v>
      </c>
      <c r="W36" t="s">
        <v>103</v>
      </c>
    </row>
    <row r="37" spans="2:23" x14ac:dyDescent="0.2">
      <c r="B37" t="s">
        <v>77</v>
      </c>
      <c r="C37">
        <v>2</v>
      </c>
      <c r="D37" t="s">
        <v>100</v>
      </c>
      <c r="E37" t="s">
        <v>46</v>
      </c>
      <c r="F37" t="s">
        <v>32</v>
      </c>
      <c r="G37">
        <v>1</v>
      </c>
      <c r="I37" t="s">
        <v>85</v>
      </c>
      <c r="U37" s="1" t="s">
        <v>104</v>
      </c>
      <c r="V37" s="1" t="s">
        <v>107</v>
      </c>
      <c r="W37" t="s">
        <v>103</v>
      </c>
    </row>
    <row r="38" spans="2:23" x14ac:dyDescent="0.2">
      <c r="B38" t="s">
        <v>75</v>
      </c>
      <c r="C38">
        <v>2</v>
      </c>
      <c r="D38" t="s">
        <v>100</v>
      </c>
      <c r="E38" t="s">
        <v>46</v>
      </c>
      <c r="F38" t="s">
        <v>32</v>
      </c>
      <c r="G38">
        <v>1</v>
      </c>
      <c r="I38" t="s">
        <v>84</v>
      </c>
      <c r="U38" s="1" t="s">
        <v>104</v>
      </c>
      <c r="V38" s="1" t="s">
        <v>107</v>
      </c>
      <c r="W38" t="s">
        <v>103</v>
      </c>
    </row>
    <row r="39" spans="2:23" x14ac:dyDescent="0.2">
      <c r="B39" t="s">
        <v>76</v>
      </c>
      <c r="C39">
        <v>2</v>
      </c>
      <c r="D39" t="s">
        <v>100</v>
      </c>
      <c r="E39" t="s">
        <v>46</v>
      </c>
      <c r="F39" t="s">
        <v>32</v>
      </c>
      <c r="G39">
        <v>80</v>
      </c>
      <c r="I39" t="s">
        <v>47</v>
      </c>
      <c r="U39" s="1" t="s">
        <v>104</v>
      </c>
      <c r="V39" s="1" t="s">
        <v>107</v>
      </c>
      <c r="W39" t="s">
        <v>103</v>
      </c>
    </row>
    <row r="40" spans="2:23" x14ac:dyDescent="0.2">
      <c r="B40" t="s">
        <v>94</v>
      </c>
      <c r="C40">
        <v>2</v>
      </c>
      <c r="D40" t="s">
        <v>100</v>
      </c>
      <c r="E40" t="s">
        <v>46</v>
      </c>
      <c r="F40" t="s">
        <v>32</v>
      </c>
      <c r="G40">
        <v>1</v>
      </c>
      <c r="I40" t="s">
        <v>81</v>
      </c>
      <c r="U40" s="1" t="s">
        <v>104</v>
      </c>
      <c r="V40" s="1" t="s">
        <v>107</v>
      </c>
      <c r="W40" t="s">
        <v>103</v>
      </c>
    </row>
    <row r="41" spans="2:23" x14ac:dyDescent="0.2">
      <c r="B41" t="s">
        <v>78</v>
      </c>
      <c r="C41">
        <v>2</v>
      </c>
      <c r="D41" t="s">
        <v>100</v>
      </c>
      <c r="E41" t="s">
        <v>46</v>
      </c>
      <c r="F41" t="s">
        <v>32</v>
      </c>
      <c r="G41">
        <v>1</v>
      </c>
      <c r="I41" t="s">
        <v>85</v>
      </c>
      <c r="U41" s="1" t="s">
        <v>104</v>
      </c>
      <c r="V41" s="1" t="s">
        <v>107</v>
      </c>
      <c r="W41" t="s">
        <v>103</v>
      </c>
    </row>
    <row r="42" spans="2:23" x14ac:dyDescent="0.2">
      <c r="B42" t="s">
        <v>36</v>
      </c>
      <c r="C42">
        <v>1</v>
      </c>
      <c r="D42" t="s">
        <v>100</v>
      </c>
      <c r="E42" t="s">
        <v>98</v>
      </c>
      <c r="F42">
        <v>1</v>
      </c>
      <c r="G42">
        <v>6</v>
      </c>
      <c r="H42" t="s">
        <v>42</v>
      </c>
      <c r="U42" s="1" t="s">
        <v>105</v>
      </c>
      <c r="V42" s="1" t="s">
        <v>106</v>
      </c>
      <c r="W42" t="s">
        <v>102</v>
      </c>
    </row>
    <row r="43" spans="2:23" x14ac:dyDescent="0.2">
      <c r="B43" t="s">
        <v>66</v>
      </c>
      <c r="C43">
        <v>1</v>
      </c>
      <c r="D43" t="s">
        <v>100</v>
      </c>
      <c r="E43" t="s">
        <v>98</v>
      </c>
      <c r="F43">
        <v>2</v>
      </c>
      <c r="G43">
        <v>4</v>
      </c>
      <c r="H43" t="s">
        <v>42</v>
      </c>
      <c r="U43" s="1" t="s">
        <v>105</v>
      </c>
      <c r="V43" s="1" t="s">
        <v>106</v>
      </c>
      <c r="W43" t="s">
        <v>102</v>
      </c>
    </row>
    <row r="44" spans="2:23" x14ac:dyDescent="0.2">
      <c r="B44" t="s">
        <v>67</v>
      </c>
      <c r="C44">
        <v>1</v>
      </c>
      <c r="D44" t="s">
        <v>100</v>
      </c>
      <c r="E44" t="s">
        <v>98</v>
      </c>
      <c r="F44">
        <v>2</v>
      </c>
      <c r="G44">
        <v>4</v>
      </c>
      <c r="H44" t="s">
        <v>42</v>
      </c>
      <c r="U44" s="1" t="s">
        <v>105</v>
      </c>
      <c r="V44" s="1" t="s">
        <v>106</v>
      </c>
      <c r="W44" t="s">
        <v>102</v>
      </c>
    </row>
    <row r="45" spans="2:23" x14ac:dyDescent="0.2">
      <c r="B45" t="s">
        <v>70</v>
      </c>
      <c r="C45">
        <v>1</v>
      </c>
      <c r="D45" t="s">
        <v>100</v>
      </c>
      <c r="E45" t="s">
        <v>98</v>
      </c>
      <c r="F45">
        <v>2</v>
      </c>
      <c r="G45">
        <v>6</v>
      </c>
      <c r="H45" t="s">
        <v>42</v>
      </c>
      <c r="U45" s="1" t="s">
        <v>105</v>
      </c>
      <c r="V45" s="1" t="s">
        <v>106</v>
      </c>
      <c r="W45" t="s">
        <v>102</v>
      </c>
    </row>
    <row r="46" spans="2:23" x14ac:dyDescent="0.2">
      <c r="B46" t="s">
        <v>64</v>
      </c>
      <c r="C46">
        <v>1</v>
      </c>
      <c r="D46" t="s">
        <v>100</v>
      </c>
      <c r="E46" t="s">
        <v>98</v>
      </c>
      <c r="F46">
        <v>2</v>
      </c>
      <c r="G46">
        <v>2</v>
      </c>
      <c r="H46" t="s">
        <v>42</v>
      </c>
      <c r="U46" s="1" t="s">
        <v>105</v>
      </c>
      <c r="V46" s="1" t="s">
        <v>106</v>
      </c>
      <c r="W46" t="s">
        <v>102</v>
      </c>
    </row>
    <row r="47" spans="2:23" x14ac:dyDescent="0.2">
      <c r="B47" t="s">
        <v>65</v>
      </c>
      <c r="C47">
        <v>1</v>
      </c>
      <c r="D47" t="s">
        <v>100</v>
      </c>
      <c r="E47" t="s">
        <v>98</v>
      </c>
      <c r="F47">
        <v>2</v>
      </c>
      <c r="G47">
        <v>2</v>
      </c>
      <c r="H47" t="s">
        <v>42</v>
      </c>
      <c r="U47" s="1" t="s">
        <v>105</v>
      </c>
      <c r="V47" s="1" t="s">
        <v>106</v>
      </c>
      <c r="W47" t="s">
        <v>102</v>
      </c>
    </row>
    <row r="48" spans="2:23" x14ac:dyDescent="0.2">
      <c r="B48" t="s">
        <v>68</v>
      </c>
      <c r="C48">
        <v>1</v>
      </c>
      <c r="D48" t="s">
        <v>100</v>
      </c>
      <c r="E48" t="s">
        <v>98</v>
      </c>
      <c r="F48">
        <v>2</v>
      </c>
      <c r="G48">
        <v>6</v>
      </c>
      <c r="H48" t="s">
        <v>42</v>
      </c>
      <c r="U48" s="1" t="s">
        <v>105</v>
      </c>
      <c r="V48" s="1" t="s">
        <v>106</v>
      </c>
      <c r="W48" t="s">
        <v>102</v>
      </c>
    </row>
    <row r="49" spans="2:23" x14ac:dyDescent="0.2">
      <c r="B49" t="s">
        <v>71</v>
      </c>
      <c r="C49">
        <v>1</v>
      </c>
      <c r="D49" t="s">
        <v>100</v>
      </c>
      <c r="E49" t="s">
        <v>98</v>
      </c>
      <c r="F49">
        <v>2</v>
      </c>
      <c r="G49">
        <v>6</v>
      </c>
      <c r="H49" t="s">
        <v>42</v>
      </c>
      <c r="U49" s="1" t="s">
        <v>105</v>
      </c>
      <c r="V49" s="1" t="s">
        <v>106</v>
      </c>
      <c r="W49" t="s">
        <v>102</v>
      </c>
    </row>
    <row r="50" spans="2:23" x14ac:dyDescent="0.2">
      <c r="B50" t="s">
        <v>69</v>
      </c>
      <c r="C50">
        <v>1</v>
      </c>
      <c r="D50" t="s">
        <v>100</v>
      </c>
      <c r="E50" t="s">
        <v>98</v>
      </c>
      <c r="F50">
        <v>2</v>
      </c>
      <c r="G50">
        <v>6</v>
      </c>
      <c r="H50" t="s">
        <v>42</v>
      </c>
      <c r="U50" s="1" t="s">
        <v>105</v>
      </c>
      <c r="V50" s="1" t="s">
        <v>106</v>
      </c>
      <c r="W50" t="s">
        <v>102</v>
      </c>
    </row>
    <row r="51" spans="2:23" x14ac:dyDescent="0.2">
      <c r="B51" t="s">
        <v>63</v>
      </c>
      <c r="C51">
        <v>1</v>
      </c>
      <c r="D51" t="s">
        <v>100</v>
      </c>
      <c r="E51" t="s">
        <v>98</v>
      </c>
      <c r="F51">
        <v>2</v>
      </c>
      <c r="G51">
        <v>37</v>
      </c>
      <c r="H51" t="s">
        <v>42</v>
      </c>
      <c r="U51" s="1" t="s">
        <v>105</v>
      </c>
      <c r="V51" s="1" t="s">
        <v>106</v>
      </c>
      <c r="W51" t="s">
        <v>102</v>
      </c>
    </row>
    <row r="52" spans="2:23" x14ac:dyDescent="0.2">
      <c r="B52" t="s">
        <v>99</v>
      </c>
      <c r="C52">
        <v>1</v>
      </c>
      <c r="D52" t="s">
        <v>100</v>
      </c>
      <c r="E52" t="s">
        <v>98</v>
      </c>
      <c r="F52">
        <v>2</v>
      </c>
      <c r="G52">
        <v>20</v>
      </c>
      <c r="H52" t="s">
        <v>42</v>
      </c>
      <c r="U52" s="1" t="s">
        <v>105</v>
      </c>
      <c r="V52" s="1" t="s">
        <v>106</v>
      </c>
      <c r="W52" t="s">
        <v>102</v>
      </c>
    </row>
    <row r="53" spans="2:23" x14ac:dyDescent="0.2">
      <c r="B53" t="s">
        <v>36</v>
      </c>
      <c r="C53">
        <v>1</v>
      </c>
      <c r="D53" t="s">
        <v>100</v>
      </c>
      <c r="E53" t="s">
        <v>98</v>
      </c>
      <c r="F53" t="s">
        <v>32</v>
      </c>
      <c r="G53">
        <v>6</v>
      </c>
      <c r="H53" t="s">
        <v>42</v>
      </c>
      <c r="U53" s="1" t="s">
        <v>105</v>
      </c>
      <c r="V53" s="1" t="s">
        <v>106</v>
      </c>
      <c r="W53" t="s">
        <v>102</v>
      </c>
    </row>
    <row r="54" spans="2:23" x14ac:dyDescent="0.2">
      <c r="B54" t="s">
        <v>35</v>
      </c>
      <c r="C54">
        <v>1</v>
      </c>
      <c r="D54" t="s">
        <v>100</v>
      </c>
      <c r="E54" t="s">
        <v>98</v>
      </c>
      <c r="F54" t="s">
        <v>32</v>
      </c>
      <c r="G54">
        <v>30</v>
      </c>
      <c r="H54" t="s">
        <v>42</v>
      </c>
      <c r="U54" s="1" t="s">
        <v>44</v>
      </c>
      <c r="V54" s="1" t="s">
        <v>45</v>
      </c>
      <c r="W54" t="s">
        <v>102</v>
      </c>
    </row>
  </sheetData>
  <hyperlinks>
    <hyperlink ref="U54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16"/>
  <sheetViews>
    <sheetView workbookViewId="0">
      <selection activeCell="D585" sqref="D585"/>
    </sheetView>
  </sheetViews>
  <sheetFormatPr baseColWidth="10" defaultColWidth="8.83203125" defaultRowHeight="15" x14ac:dyDescent="0.2"/>
  <cols>
    <col min="1" max="1" width="9.83203125" bestFit="1" customWidth="1"/>
    <col min="2" max="2" width="15.33203125" bestFit="1" customWidth="1"/>
    <col min="3" max="3" width="12.33203125" bestFit="1" customWidth="1"/>
    <col min="4" max="4" width="14.1640625" bestFit="1" customWidth="1"/>
    <col min="5" max="5" width="11.5" bestFit="1" customWidth="1"/>
    <col min="6" max="6" width="14.83203125" bestFit="1" customWidth="1"/>
    <col min="7" max="7" width="61.5" bestFit="1" customWidth="1"/>
    <col min="8" max="8" width="32.5" bestFit="1" customWidth="1"/>
    <col min="9" max="9" width="9.5" bestFit="1" customWidth="1"/>
  </cols>
  <sheetData>
    <row r="1" spans="1:9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9</v>
      </c>
      <c r="H1" t="s">
        <v>114</v>
      </c>
      <c r="I1" t="s">
        <v>115</v>
      </c>
    </row>
    <row r="2" spans="1:9" ht="16" hidden="1" x14ac:dyDescent="0.2">
      <c r="A2" t="s">
        <v>116</v>
      </c>
      <c r="B2" s="5">
        <v>45194</v>
      </c>
      <c r="C2" s="3">
        <v>0.35416666666666669</v>
      </c>
      <c r="D2" s="5">
        <v>45194</v>
      </c>
      <c r="E2" s="3">
        <v>0.39583333333333337</v>
      </c>
      <c r="F2" t="b">
        <v>0</v>
      </c>
      <c r="G2" s="4" t="s">
        <v>117</v>
      </c>
      <c r="H2" t="s">
        <v>118</v>
      </c>
      <c r="I2" t="b">
        <v>0</v>
      </c>
    </row>
    <row r="3" spans="1:9" ht="16" hidden="1" x14ac:dyDescent="0.2">
      <c r="A3" t="s">
        <v>153</v>
      </c>
      <c r="B3" s="5">
        <v>45194</v>
      </c>
      <c r="C3" s="3">
        <v>0.35416666666666669</v>
      </c>
      <c r="D3" s="5">
        <v>45194</v>
      </c>
      <c r="E3" s="3">
        <v>0.39583333333333331</v>
      </c>
      <c r="F3" t="b">
        <v>0</v>
      </c>
      <c r="G3" s="4" t="s">
        <v>154</v>
      </c>
      <c r="H3" t="s">
        <v>155</v>
      </c>
      <c r="I3" t="b">
        <v>0</v>
      </c>
    </row>
    <row r="4" spans="1:9" ht="16" hidden="1" x14ac:dyDescent="0.2">
      <c r="A4" t="s">
        <v>225</v>
      </c>
      <c r="B4" s="5">
        <v>45196</v>
      </c>
      <c r="C4" s="3">
        <v>0.4375</v>
      </c>
      <c r="D4" s="5">
        <v>45196</v>
      </c>
      <c r="E4" s="3">
        <v>0.47916666666666669</v>
      </c>
      <c r="F4" t="b">
        <v>0</v>
      </c>
      <c r="G4" s="4" t="s">
        <v>226</v>
      </c>
      <c r="H4" t="s">
        <v>127</v>
      </c>
      <c r="I4" t="b">
        <v>0</v>
      </c>
    </row>
    <row r="5" spans="1:9" ht="16" hidden="1" x14ac:dyDescent="0.2">
      <c r="A5" t="s">
        <v>225</v>
      </c>
      <c r="B5" s="5">
        <v>45196</v>
      </c>
      <c r="C5" s="3">
        <v>0.4375</v>
      </c>
      <c r="D5" s="5">
        <v>45196</v>
      </c>
      <c r="E5" s="3">
        <v>0.47916666666666669</v>
      </c>
      <c r="F5" t="b">
        <v>0</v>
      </c>
      <c r="G5" s="4" t="s">
        <v>226</v>
      </c>
      <c r="H5" t="s">
        <v>224</v>
      </c>
      <c r="I5" t="b">
        <v>0</v>
      </c>
    </row>
    <row r="6" spans="1:9" ht="16" hidden="1" x14ac:dyDescent="0.2">
      <c r="A6" t="s">
        <v>225</v>
      </c>
      <c r="B6" s="5">
        <v>45198</v>
      </c>
      <c r="C6" s="3">
        <v>0.47916666666666669</v>
      </c>
      <c r="D6" s="5">
        <v>45198</v>
      </c>
      <c r="E6" s="3">
        <v>0.52083333333333337</v>
      </c>
      <c r="F6" t="b">
        <v>0</v>
      </c>
      <c r="G6" s="4" t="s">
        <v>226</v>
      </c>
      <c r="H6" t="s">
        <v>127</v>
      </c>
      <c r="I6" t="b">
        <v>0</v>
      </c>
    </row>
    <row r="7" spans="1:9" ht="16" hidden="1" x14ac:dyDescent="0.2">
      <c r="A7" t="s">
        <v>225</v>
      </c>
      <c r="B7" s="5">
        <v>45198</v>
      </c>
      <c r="C7" s="3">
        <v>0.47916666666666669</v>
      </c>
      <c r="D7" s="5">
        <v>45198</v>
      </c>
      <c r="E7" s="3">
        <v>0.52083333333333337</v>
      </c>
      <c r="F7" t="b">
        <v>0</v>
      </c>
      <c r="G7" s="4" t="s">
        <v>226</v>
      </c>
      <c r="H7" t="s">
        <v>224</v>
      </c>
      <c r="I7" t="b">
        <v>0</v>
      </c>
    </row>
    <row r="8" spans="1:9" ht="16" hidden="1" x14ac:dyDescent="0.2">
      <c r="A8" t="s">
        <v>225</v>
      </c>
      <c r="B8" s="5">
        <v>45201</v>
      </c>
      <c r="C8" s="3">
        <v>0.4375</v>
      </c>
      <c r="D8" s="5">
        <v>45201</v>
      </c>
      <c r="E8" s="3">
        <v>0.47916666666666669</v>
      </c>
      <c r="F8" t="b">
        <v>0</v>
      </c>
      <c r="G8" s="4" t="s">
        <v>226</v>
      </c>
      <c r="H8" t="s">
        <v>127</v>
      </c>
      <c r="I8" t="b">
        <v>0</v>
      </c>
    </row>
    <row r="9" spans="1:9" ht="16" hidden="1" x14ac:dyDescent="0.2">
      <c r="A9" t="s">
        <v>225</v>
      </c>
      <c r="B9" s="5">
        <v>45201</v>
      </c>
      <c r="C9" s="3">
        <v>0.4375</v>
      </c>
      <c r="D9" s="5">
        <v>45201</v>
      </c>
      <c r="E9" s="3">
        <v>0.47916666666666669</v>
      </c>
      <c r="F9" t="b">
        <v>0</v>
      </c>
      <c r="G9" s="4" t="s">
        <v>226</v>
      </c>
      <c r="H9" t="s">
        <v>224</v>
      </c>
      <c r="I9" t="b">
        <v>0</v>
      </c>
    </row>
    <row r="10" spans="1:9" ht="16" hidden="1" x14ac:dyDescent="0.2">
      <c r="A10" t="s">
        <v>225</v>
      </c>
      <c r="B10" s="5">
        <v>45203</v>
      </c>
      <c r="C10" s="3">
        <v>0.4375</v>
      </c>
      <c r="D10" s="5">
        <v>45203</v>
      </c>
      <c r="E10" s="3">
        <v>0.47916666666666669</v>
      </c>
      <c r="F10" t="b">
        <v>0</v>
      </c>
      <c r="G10" s="4" t="s">
        <v>226</v>
      </c>
      <c r="H10" t="s">
        <v>127</v>
      </c>
      <c r="I10" t="b">
        <v>0</v>
      </c>
    </row>
    <row r="11" spans="1:9" ht="16" hidden="1" x14ac:dyDescent="0.2">
      <c r="A11" t="s">
        <v>225</v>
      </c>
      <c r="B11" s="5">
        <v>45203</v>
      </c>
      <c r="C11" s="3">
        <v>0.4375</v>
      </c>
      <c r="D11" s="5">
        <v>45203</v>
      </c>
      <c r="E11" s="3">
        <v>0.47916666666666669</v>
      </c>
      <c r="F11" t="b">
        <v>0</v>
      </c>
      <c r="G11" s="4" t="s">
        <v>226</v>
      </c>
      <c r="H11" t="s">
        <v>224</v>
      </c>
      <c r="I11" t="b">
        <v>0</v>
      </c>
    </row>
    <row r="12" spans="1:9" ht="16" hidden="1" x14ac:dyDescent="0.2">
      <c r="A12" t="s">
        <v>225</v>
      </c>
      <c r="B12" s="5">
        <v>45205</v>
      </c>
      <c r="C12" s="3">
        <v>0.47916666666666669</v>
      </c>
      <c r="D12" s="5">
        <v>45205</v>
      </c>
      <c r="E12" s="3">
        <v>0.52083333333333337</v>
      </c>
      <c r="F12" t="b">
        <v>0</v>
      </c>
      <c r="G12" s="4" t="s">
        <v>226</v>
      </c>
      <c r="H12" t="s">
        <v>127</v>
      </c>
      <c r="I12" t="b">
        <v>0</v>
      </c>
    </row>
    <row r="13" spans="1:9" ht="16" hidden="1" x14ac:dyDescent="0.2">
      <c r="A13" t="s">
        <v>225</v>
      </c>
      <c r="B13" s="5">
        <v>45205</v>
      </c>
      <c r="C13" s="3">
        <v>0.47916666666666669</v>
      </c>
      <c r="D13" s="5">
        <v>45205</v>
      </c>
      <c r="E13" s="3">
        <v>0.52083333333333337</v>
      </c>
      <c r="F13" t="b">
        <v>0</v>
      </c>
      <c r="G13" s="4" t="s">
        <v>226</v>
      </c>
      <c r="H13" t="s">
        <v>224</v>
      </c>
      <c r="I13" t="b">
        <v>0</v>
      </c>
    </row>
    <row r="14" spans="1:9" ht="16" hidden="1" x14ac:dyDescent="0.2">
      <c r="A14" t="s">
        <v>225</v>
      </c>
      <c r="B14" s="5">
        <v>45208</v>
      </c>
      <c r="C14" s="3">
        <v>0.4375</v>
      </c>
      <c r="D14" s="5">
        <v>45208</v>
      </c>
      <c r="E14" s="3">
        <v>0.47916666666666669</v>
      </c>
      <c r="F14" t="b">
        <v>0</v>
      </c>
      <c r="G14" s="4" t="s">
        <v>226</v>
      </c>
      <c r="H14" t="s">
        <v>127</v>
      </c>
      <c r="I14" t="b">
        <v>0</v>
      </c>
    </row>
    <row r="15" spans="1:9" ht="16" hidden="1" x14ac:dyDescent="0.2">
      <c r="A15" t="s">
        <v>225</v>
      </c>
      <c r="B15" s="5">
        <v>45208</v>
      </c>
      <c r="C15" s="3">
        <v>0.4375</v>
      </c>
      <c r="D15" s="5">
        <v>45208</v>
      </c>
      <c r="E15" s="3">
        <v>0.47916666666666669</v>
      </c>
      <c r="F15" t="b">
        <v>0</v>
      </c>
      <c r="G15" s="4" t="s">
        <v>226</v>
      </c>
      <c r="H15" t="s">
        <v>224</v>
      </c>
      <c r="I15" t="b">
        <v>0</v>
      </c>
    </row>
    <row r="16" spans="1:9" ht="16" hidden="1" x14ac:dyDescent="0.2">
      <c r="A16" t="s">
        <v>225</v>
      </c>
      <c r="B16" s="5">
        <v>45210</v>
      </c>
      <c r="C16" s="3">
        <v>0.4375</v>
      </c>
      <c r="D16" s="5">
        <v>45210</v>
      </c>
      <c r="E16" s="3">
        <v>0.47916666666666669</v>
      </c>
      <c r="F16" t="b">
        <v>0</v>
      </c>
      <c r="G16" s="4" t="s">
        <v>226</v>
      </c>
      <c r="H16" t="s">
        <v>127</v>
      </c>
      <c r="I16" t="b">
        <v>0</v>
      </c>
    </row>
    <row r="17" spans="1:9" ht="16" hidden="1" x14ac:dyDescent="0.2">
      <c r="A17" t="s">
        <v>225</v>
      </c>
      <c r="B17" s="5">
        <v>45210</v>
      </c>
      <c r="C17" s="3">
        <v>0.4375</v>
      </c>
      <c r="D17" s="5">
        <v>45210</v>
      </c>
      <c r="E17" s="3">
        <v>0.47916666666666669</v>
      </c>
      <c r="F17" t="b">
        <v>0</v>
      </c>
      <c r="G17" s="4" t="s">
        <v>226</v>
      </c>
      <c r="H17" t="s">
        <v>224</v>
      </c>
      <c r="I17" t="b">
        <v>0</v>
      </c>
    </row>
    <row r="18" spans="1:9" ht="16" hidden="1" x14ac:dyDescent="0.2">
      <c r="A18" t="s">
        <v>225</v>
      </c>
      <c r="B18" s="5">
        <v>45212</v>
      </c>
      <c r="C18" s="3">
        <v>0.47916666666666669</v>
      </c>
      <c r="D18" s="5">
        <v>45212</v>
      </c>
      <c r="E18" s="3">
        <v>0.52083333333333337</v>
      </c>
      <c r="F18" t="b">
        <v>0</v>
      </c>
      <c r="G18" s="4" t="s">
        <v>226</v>
      </c>
      <c r="H18" t="s">
        <v>127</v>
      </c>
      <c r="I18" t="b">
        <v>0</v>
      </c>
    </row>
    <row r="19" spans="1:9" ht="16" hidden="1" x14ac:dyDescent="0.2">
      <c r="A19" t="s">
        <v>225</v>
      </c>
      <c r="B19" s="5">
        <v>45212</v>
      </c>
      <c r="C19" s="3">
        <v>0.47916666666666669</v>
      </c>
      <c r="D19" s="5">
        <v>45212</v>
      </c>
      <c r="E19" s="3">
        <v>0.52083333333333337</v>
      </c>
      <c r="F19" t="b">
        <v>0</v>
      </c>
      <c r="G19" s="4" t="s">
        <v>226</v>
      </c>
      <c r="H19" t="s">
        <v>224</v>
      </c>
      <c r="I19" t="b">
        <v>0</v>
      </c>
    </row>
    <row r="20" spans="1:9" ht="16" hidden="1" x14ac:dyDescent="0.2">
      <c r="A20" t="s">
        <v>225</v>
      </c>
      <c r="B20" s="5">
        <v>45215</v>
      </c>
      <c r="C20" s="3">
        <v>0.4375</v>
      </c>
      <c r="D20" s="5">
        <v>45215</v>
      </c>
      <c r="E20" s="3">
        <v>0.47916666666666669</v>
      </c>
      <c r="F20" t="b">
        <v>0</v>
      </c>
      <c r="G20" s="4" t="s">
        <v>226</v>
      </c>
      <c r="H20" t="s">
        <v>127</v>
      </c>
      <c r="I20" t="b">
        <v>0</v>
      </c>
    </row>
    <row r="21" spans="1:9" ht="16" hidden="1" x14ac:dyDescent="0.2">
      <c r="A21" t="s">
        <v>225</v>
      </c>
      <c r="B21" s="5">
        <v>45215</v>
      </c>
      <c r="C21" s="3">
        <v>0.4375</v>
      </c>
      <c r="D21" s="5">
        <v>45215</v>
      </c>
      <c r="E21" s="3">
        <v>0.47916666666666669</v>
      </c>
      <c r="F21" t="b">
        <v>0</v>
      </c>
      <c r="G21" s="4" t="s">
        <v>226</v>
      </c>
      <c r="H21" t="s">
        <v>224</v>
      </c>
      <c r="I21" t="b">
        <v>0</v>
      </c>
    </row>
    <row r="22" spans="1:9" ht="16" hidden="1" x14ac:dyDescent="0.2">
      <c r="A22" t="s">
        <v>225</v>
      </c>
      <c r="B22" s="5">
        <v>45217</v>
      </c>
      <c r="C22" s="3">
        <v>0.4375</v>
      </c>
      <c r="D22" s="5">
        <v>45217</v>
      </c>
      <c r="E22" s="3">
        <v>0.47916666666666669</v>
      </c>
      <c r="F22" t="b">
        <v>0</v>
      </c>
      <c r="G22" s="4" t="s">
        <v>226</v>
      </c>
      <c r="H22" t="s">
        <v>127</v>
      </c>
      <c r="I22" t="b">
        <v>0</v>
      </c>
    </row>
    <row r="23" spans="1:9" ht="16" hidden="1" x14ac:dyDescent="0.2">
      <c r="A23" t="s">
        <v>225</v>
      </c>
      <c r="B23" s="5">
        <v>45217</v>
      </c>
      <c r="C23" s="3">
        <v>0.4375</v>
      </c>
      <c r="D23" s="5">
        <v>45217</v>
      </c>
      <c r="E23" s="3">
        <v>0.47916666666666669</v>
      </c>
      <c r="F23" t="b">
        <v>0</v>
      </c>
      <c r="G23" s="4" t="s">
        <v>226</v>
      </c>
      <c r="H23" t="s">
        <v>224</v>
      </c>
      <c r="I23" t="b">
        <v>0</v>
      </c>
    </row>
    <row r="24" spans="1:9" ht="16" hidden="1" x14ac:dyDescent="0.2">
      <c r="A24" t="s">
        <v>225</v>
      </c>
      <c r="B24" s="5">
        <v>45219</v>
      </c>
      <c r="C24" s="3">
        <v>0.47916666666666669</v>
      </c>
      <c r="D24" s="5">
        <v>45219</v>
      </c>
      <c r="E24" s="3">
        <v>0.52083333333333337</v>
      </c>
      <c r="F24" t="b">
        <v>0</v>
      </c>
      <c r="G24" s="4" t="s">
        <v>226</v>
      </c>
      <c r="H24" t="s">
        <v>127</v>
      </c>
      <c r="I24" t="b">
        <v>0</v>
      </c>
    </row>
    <row r="25" spans="1:9" ht="16" hidden="1" x14ac:dyDescent="0.2">
      <c r="A25" t="s">
        <v>225</v>
      </c>
      <c r="B25" s="5">
        <v>45219</v>
      </c>
      <c r="C25" s="3">
        <v>0.47916666666666669</v>
      </c>
      <c r="D25" s="5">
        <v>45219</v>
      </c>
      <c r="E25" s="3">
        <v>0.52083333333333337</v>
      </c>
      <c r="F25" t="b">
        <v>0</v>
      </c>
      <c r="G25" s="4" t="s">
        <v>226</v>
      </c>
      <c r="H25" t="s">
        <v>224</v>
      </c>
      <c r="I25" t="b">
        <v>0</v>
      </c>
    </row>
    <row r="26" spans="1:9" ht="16" hidden="1" x14ac:dyDescent="0.2">
      <c r="A26" t="s">
        <v>225</v>
      </c>
      <c r="B26" s="5">
        <v>45222</v>
      </c>
      <c r="C26" s="3">
        <v>0.4375</v>
      </c>
      <c r="D26" s="5">
        <v>45222</v>
      </c>
      <c r="E26" s="3">
        <v>0.47916666666666669</v>
      </c>
      <c r="F26" t="b">
        <v>0</v>
      </c>
      <c r="G26" s="4" t="s">
        <v>226</v>
      </c>
      <c r="H26" t="s">
        <v>127</v>
      </c>
      <c r="I26" t="b">
        <v>0</v>
      </c>
    </row>
    <row r="27" spans="1:9" ht="16" hidden="1" x14ac:dyDescent="0.2">
      <c r="A27" t="s">
        <v>225</v>
      </c>
      <c r="B27" s="5">
        <v>45222</v>
      </c>
      <c r="C27" s="3">
        <v>0.4375</v>
      </c>
      <c r="D27" s="5">
        <v>45222</v>
      </c>
      <c r="E27" s="3">
        <v>0.47916666666666669</v>
      </c>
      <c r="F27" t="b">
        <v>0</v>
      </c>
      <c r="G27" s="4" t="s">
        <v>226</v>
      </c>
      <c r="H27" t="s">
        <v>224</v>
      </c>
      <c r="I27" t="b">
        <v>0</v>
      </c>
    </row>
    <row r="28" spans="1:9" ht="16" hidden="1" x14ac:dyDescent="0.2">
      <c r="A28" t="s">
        <v>225</v>
      </c>
      <c r="B28" s="5">
        <v>45224</v>
      </c>
      <c r="C28" s="3">
        <v>0.4375</v>
      </c>
      <c r="D28" s="5">
        <v>45224</v>
      </c>
      <c r="E28" s="3">
        <v>0.47916666666666669</v>
      </c>
      <c r="F28" t="b">
        <v>0</v>
      </c>
      <c r="G28" s="4" t="s">
        <v>226</v>
      </c>
      <c r="H28" t="s">
        <v>127</v>
      </c>
      <c r="I28" t="b">
        <v>0</v>
      </c>
    </row>
    <row r="29" spans="1:9" ht="16" hidden="1" x14ac:dyDescent="0.2">
      <c r="A29" t="s">
        <v>225</v>
      </c>
      <c r="B29" s="5">
        <v>45224</v>
      </c>
      <c r="C29" s="3">
        <v>0.4375</v>
      </c>
      <c r="D29" s="5">
        <v>45224</v>
      </c>
      <c r="E29" s="3">
        <v>0.47916666666666669</v>
      </c>
      <c r="F29" t="b">
        <v>0</v>
      </c>
      <c r="G29" s="4" t="s">
        <v>226</v>
      </c>
      <c r="H29" t="s">
        <v>224</v>
      </c>
      <c r="I29" t="b">
        <v>0</v>
      </c>
    </row>
    <row r="30" spans="1:9" ht="16" hidden="1" x14ac:dyDescent="0.2">
      <c r="A30" t="s">
        <v>225</v>
      </c>
      <c r="B30" s="5">
        <v>45226</v>
      </c>
      <c r="C30" s="3">
        <v>0.47916666666666669</v>
      </c>
      <c r="D30" s="5">
        <v>45226</v>
      </c>
      <c r="E30" s="3">
        <v>0.52083333333333337</v>
      </c>
      <c r="F30" t="b">
        <v>0</v>
      </c>
      <c r="G30" s="4" t="s">
        <v>226</v>
      </c>
      <c r="H30" t="s">
        <v>127</v>
      </c>
      <c r="I30" t="b">
        <v>0</v>
      </c>
    </row>
    <row r="31" spans="1:9" ht="16" hidden="1" x14ac:dyDescent="0.2">
      <c r="A31" t="s">
        <v>225</v>
      </c>
      <c r="B31" s="5">
        <v>45226</v>
      </c>
      <c r="C31" s="3">
        <v>0.47916666666666669</v>
      </c>
      <c r="D31" s="5">
        <v>45226</v>
      </c>
      <c r="E31" s="3">
        <v>0.52083333333333337</v>
      </c>
      <c r="F31" t="b">
        <v>0</v>
      </c>
      <c r="G31" s="4" t="s">
        <v>226</v>
      </c>
      <c r="H31" t="s">
        <v>224</v>
      </c>
      <c r="I31" t="b">
        <v>0</v>
      </c>
    </row>
    <row r="32" spans="1:9" ht="16" hidden="1" x14ac:dyDescent="0.2">
      <c r="A32" t="s">
        <v>225</v>
      </c>
      <c r="B32" s="5">
        <v>45229</v>
      </c>
      <c r="C32" s="3">
        <v>0.4375</v>
      </c>
      <c r="D32" s="5">
        <v>45229</v>
      </c>
      <c r="E32" s="3">
        <v>0.47916666666666669</v>
      </c>
      <c r="F32" t="b">
        <v>0</v>
      </c>
      <c r="G32" s="4" t="s">
        <v>226</v>
      </c>
      <c r="H32" t="s">
        <v>127</v>
      </c>
      <c r="I32" t="b">
        <v>0</v>
      </c>
    </row>
    <row r="33" spans="1:9" ht="16" hidden="1" x14ac:dyDescent="0.2">
      <c r="A33" t="s">
        <v>225</v>
      </c>
      <c r="B33" s="5">
        <v>45229</v>
      </c>
      <c r="C33" s="3">
        <v>0.4375</v>
      </c>
      <c r="D33" s="5">
        <v>45229</v>
      </c>
      <c r="E33" s="3">
        <v>0.47916666666666669</v>
      </c>
      <c r="F33" t="b">
        <v>0</v>
      </c>
      <c r="G33" s="4" t="s">
        <v>226</v>
      </c>
      <c r="H33" t="s">
        <v>224</v>
      </c>
      <c r="I33" t="b">
        <v>0</v>
      </c>
    </row>
    <row r="34" spans="1:9" ht="16" hidden="1" x14ac:dyDescent="0.2">
      <c r="A34" t="s">
        <v>225</v>
      </c>
      <c r="B34" s="5">
        <v>45231</v>
      </c>
      <c r="C34" s="3">
        <v>0.4375</v>
      </c>
      <c r="D34" s="5">
        <v>45231</v>
      </c>
      <c r="E34" s="3">
        <v>0.47916666666666669</v>
      </c>
      <c r="F34" t="b">
        <v>0</v>
      </c>
      <c r="G34" s="4" t="s">
        <v>226</v>
      </c>
      <c r="H34" t="s">
        <v>127</v>
      </c>
      <c r="I34" t="b">
        <v>0</v>
      </c>
    </row>
    <row r="35" spans="1:9" ht="16" hidden="1" x14ac:dyDescent="0.2">
      <c r="A35" t="s">
        <v>225</v>
      </c>
      <c r="B35" s="5">
        <v>45231</v>
      </c>
      <c r="C35" s="3">
        <v>0.4375</v>
      </c>
      <c r="D35" s="5">
        <v>45231</v>
      </c>
      <c r="E35" s="3">
        <v>0.47916666666666669</v>
      </c>
      <c r="F35" t="b">
        <v>0</v>
      </c>
      <c r="G35" s="4" t="s">
        <v>226</v>
      </c>
      <c r="H35" t="s">
        <v>224</v>
      </c>
      <c r="I35" t="b">
        <v>0</v>
      </c>
    </row>
    <row r="36" spans="1:9" ht="16" hidden="1" x14ac:dyDescent="0.2">
      <c r="A36" t="s">
        <v>225</v>
      </c>
      <c r="B36" s="5">
        <v>45233</v>
      </c>
      <c r="C36" s="3">
        <v>0.47916666666666669</v>
      </c>
      <c r="D36" s="5">
        <v>45233</v>
      </c>
      <c r="E36" s="3">
        <v>0.52083333333333337</v>
      </c>
      <c r="F36" t="b">
        <v>0</v>
      </c>
      <c r="G36" s="4" t="s">
        <v>226</v>
      </c>
      <c r="H36" t="s">
        <v>127</v>
      </c>
      <c r="I36" t="b">
        <v>0</v>
      </c>
    </row>
    <row r="37" spans="1:9" ht="16" hidden="1" x14ac:dyDescent="0.2">
      <c r="A37" t="s">
        <v>225</v>
      </c>
      <c r="B37" s="5">
        <v>45233</v>
      </c>
      <c r="C37" s="3">
        <v>0.47916666666666669</v>
      </c>
      <c r="D37" s="5">
        <v>45233</v>
      </c>
      <c r="E37" s="3">
        <v>0.52083333333333337</v>
      </c>
      <c r="F37" t="b">
        <v>0</v>
      </c>
      <c r="G37" s="4" t="s">
        <v>226</v>
      </c>
      <c r="H37" t="s">
        <v>224</v>
      </c>
      <c r="I37" t="b">
        <v>0</v>
      </c>
    </row>
    <row r="38" spans="1:9" ht="16" hidden="1" x14ac:dyDescent="0.2">
      <c r="A38" t="s">
        <v>225</v>
      </c>
      <c r="B38" s="5">
        <v>45236</v>
      </c>
      <c r="C38" s="3">
        <v>0.4375</v>
      </c>
      <c r="D38" s="5">
        <v>45236</v>
      </c>
      <c r="E38" s="3">
        <v>0.47916666666666669</v>
      </c>
      <c r="F38" t="b">
        <v>0</v>
      </c>
      <c r="G38" s="4" t="s">
        <v>226</v>
      </c>
      <c r="H38" t="s">
        <v>127</v>
      </c>
      <c r="I38" t="b">
        <v>0</v>
      </c>
    </row>
    <row r="39" spans="1:9" ht="16" hidden="1" x14ac:dyDescent="0.2">
      <c r="A39" t="s">
        <v>225</v>
      </c>
      <c r="B39" s="5">
        <v>45236</v>
      </c>
      <c r="C39" s="3">
        <v>0.4375</v>
      </c>
      <c r="D39" s="5">
        <v>45236</v>
      </c>
      <c r="E39" s="3">
        <v>0.47916666666666669</v>
      </c>
      <c r="F39" t="b">
        <v>0</v>
      </c>
      <c r="G39" s="4" t="s">
        <v>226</v>
      </c>
      <c r="H39" t="s">
        <v>224</v>
      </c>
      <c r="I39" t="b">
        <v>0</v>
      </c>
    </row>
    <row r="40" spans="1:9" ht="16" hidden="1" x14ac:dyDescent="0.2">
      <c r="A40" t="s">
        <v>225</v>
      </c>
      <c r="B40" s="5">
        <v>45238</v>
      </c>
      <c r="C40" s="3">
        <v>0.4375</v>
      </c>
      <c r="D40" s="5">
        <v>45238</v>
      </c>
      <c r="E40" s="3">
        <v>0.47916666666666669</v>
      </c>
      <c r="F40" t="b">
        <v>0</v>
      </c>
      <c r="G40" s="4" t="s">
        <v>226</v>
      </c>
      <c r="H40" t="s">
        <v>127</v>
      </c>
      <c r="I40" t="b">
        <v>0</v>
      </c>
    </row>
    <row r="41" spans="1:9" ht="23" hidden="1" customHeight="1" x14ac:dyDescent="0.2">
      <c r="A41" t="s">
        <v>225</v>
      </c>
      <c r="B41" s="5">
        <v>45238</v>
      </c>
      <c r="C41" s="3">
        <v>0.4375</v>
      </c>
      <c r="D41" s="5">
        <v>45238</v>
      </c>
      <c r="E41" s="3">
        <v>0.47916666666666669</v>
      </c>
      <c r="F41" t="b">
        <v>0</v>
      </c>
      <c r="G41" s="4" t="s">
        <v>226</v>
      </c>
      <c r="H41" t="s">
        <v>224</v>
      </c>
      <c r="I41" t="b">
        <v>0</v>
      </c>
    </row>
    <row r="42" spans="1:9" ht="16" hidden="1" x14ac:dyDescent="0.2">
      <c r="A42" t="s">
        <v>225</v>
      </c>
      <c r="B42" s="5">
        <v>45240</v>
      </c>
      <c r="C42" s="3">
        <v>0.47916666666666669</v>
      </c>
      <c r="D42" s="5">
        <v>45240</v>
      </c>
      <c r="E42" s="3">
        <v>0.52083333333333337</v>
      </c>
      <c r="F42" t="b">
        <v>0</v>
      </c>
      <c r="G42" s="4" t="s">
        <v>226</v>
      </c>
      <c r="H42" t="s">
        <v>127</v>
      </c>
      <c r="I42" t="b">
        <v>0</v>
      </c>
    </row>
    <row r="43" spans="1:9" ht="16" hidden="1" x14ac:dyDescent="0.2">
      <c r="A43" t="s">
        <v>225</v>
      </c>
      <c r="B43" s="5">
        <v>45240</v>
      </c>
      <c r="C43" s="3">
        <v>0.47916666666666669</v>
      </c>
      <c r="D43" s="5">
        <v>45240</v>
      </c>
      <c r="E43" s="3">
        <v>0.52083333333333337</v>
      </c>
      <c r="F43" t="b">
        <v>0</v>
      </c>
      <c r="G43" s="4" t="s">
        <v>226</v>
      </c>
      <c r="H43" t="s">
        <v>224</v>
      </c>
      <c r="I43" t="b">
        <v>0</v>
      </c>
    </row>
    <row r="44" spans="1:9" ht="16" hidden="1" x14ac:dyDescent="0.2">
      <c r="A44" t="s">
        <v>123</v>
      </c>
      <c r="B44" s="5">
        <v>45195</v>
      </c>
      <c r="C44" s="3">
        <v>0.625</v>
      </c>
      <c r="D44" s="5">
        <v>45195</v>
      </c>
      <c r="E44" s="3">
        <v>0.66666666666666663</v>
      </c>
      <c r="F44" t="b">
        <v>0</v>
      </c>
      <c r="G44" s="4" t="s">
        <v>124</v>
      </c>
      <c r="H44" t="s">
        <v>125</v>
      </c>
      <c r="I44" t="b">
        <v>0</v>
      </c>
    </row>
    <row r="45" spans="1:9" ht="16" hidden="1" x14ac:dyDescent="0.2">
      <c r="A45" t="s">
        <v>123</v>
      </c>
      <c r="B45" s="5">
        <v>45196</v>
      </c>
      <c r="C45" s="3">
        <v>0.58333333333333337</v>
      </c>
      <c r="D45" s="5">
        <v>45196</v>
      </c>
      <c r="E45" s="3">
        <v>0.625</v>
      </c>
      <c r="F45" t="b">
        <v>0</v>
      </c>
      <c r="G45" s="4" t="s">
        <v>124</v>
      </c>
      <c r="H45" t="s">
        <v>125</v>
      </c>
      <c r="I45" t="b">
        <v>0</v>
      </c>
    </row>
    <row r="46" spans="1:9" ht="16" hidden="1" x14ac:dyDescent="0.2">
      <c r="A46" t="s">
        <v>123</v>
      </c>
      <c r="B46" s="5">
        <v>45197</v>
      </c>
      <c r="C46" s="3">
        <v>0.58333333333333337</v>
      </c>
      <c r="D46" s="5">
        <v>45197</v>
      </c>
      <c r="E46" s="3">
        <v>0.625</v>
      </c>
      <c r="F46" t="b">
        <v>0</v>
      </c>
      <c r="G46" s="4" t="s">
        <v>124</v>
      </c>
      <c r="H46" t="s">
        <v>125</v>
      </c>
      <c r="I46" t="b">
        <v>0</v>
      </c>
    </row>
    <row r="47" spans="1:9" ht="16" hidden="1" x14ac:dyDescent="0.2">
      <c r="A47" t="s">
        <v>123</v>
      </c>
      <c r="B47" s="5">
        <v>45202</v>
      </c>
      <c r="C47" s="3">
        <v>0.625</v>
      </c>
      <c r="D47" s="5">
        <v>45202</v>
      </c>
      <c r="E47" s="3">
        <v>0.66666666666666663</v>
      </c>
      <c r="F47" t="b">
        <v>0</v>
      </c>
      <c r="G47" s="4" t="s">
        <v>124</v>
      </c>
      <c r="H47" t="s">
        <v>125</v>
      </c>
      <c r="I47" t="b">
        <v>0</v>
      </c>
    </row>
    <row r="48" spans="1:9" ht="16" hidden="1" x14ac:dyDescent="0.2">
      <c r="A48" t="s">
        <v>123</v>
      </c>
      <c r="B48" s="5">
        <v>45203</v>
      </c>
      <c r="C48" s="3">
        <v>0.58333333333333337</v>
      </c>
      <c r="D48" s="5">
        <v>45203</v>
      </c>
      <c r="E48" s="3">
        <v>0.625</v>
      </c>
      <c r="F48" t="b">
        <v>0</v>
      </c>
      <c r="G48" s="4" t="s">
        <v>124</v>
      </c>
      <c r="H48" t="s">
        <v>125</v>
      </c>
      <c r="I48" t="b">
        <v>0</v>
      </c>
    </row>
    <row r="49" spans="1:9" ht="16" hidden="1" x14ac:dyDescent="0.2">
      <c r="A49" t="s">
        <v>123</v>
      </c>
      <c r="B49" s="5">
        <v>45204</v>
      </c>
      <c r="C49" s="3">
        <v>0.58333333333333337</v>
      </c>
      <c r="D49" s="5">
        <v>45204</v>
      </c>
      <c r="E49" s="3">
        <v>0.625</v>
      </c>
      <c r="F49" t="b">
        <v>0</v>
      </c>
      <c r="G49" s="4" t="s">
        <v>124</v>
      </c>
      <c r="H49" t="s">
        <v>125</v>
      </c>
      <c r="I49" t="b">
        <v>0</v>
      </c>
    </row>
    <row r="50" spans="1:9" ht="16" hidden="1" x14ac:dyDescent="0.2">
      <c r="A50" t="s">
        <v>123</v>
      </c>
      <c r="B50" s="5">
        <v>45209</v>
      </c>
      <c r="C50" s="3">
        <v>0.625</v>
      </c>
      <c r="D50" s="5">
        <v>45209</v>
      </c>
      <c r="E50" s="3">
        <v>0.66666666666666663</v>
      </c>
      <c r="F50" t="b">
        <v>0</v>
      </c>
      <c r="G50" s="4" t="s">
        <v>124</v>
      </c>
      <c r="H50" t="s">
        <v>125</v>
      </c>
      <c r="I50" t="b">
        <v>0</v>
      </c>
    </row>
    <row r="51" spans="1:9" ht="16" hidden="1" x14ac:dyDescent="0.2">
      <c r="A51" t="s">
        <v>123</v>
      </c>
      <c r="B51" s="5">
        <v>45210</v>
      </c>
      <c r="C51" s="3">
        <v>0.58333333333333337</v>
      </c>
      <c r="D51" s="5">
        <v>45210</v>
      </c>
      <c r="E51" s="3">
        <v>0.625</v>
      </c>
      <c r="F51" t="b">
        <v>0</v>
      </c>
      <c r="G51" s="4" t="s">
        <v>124</v>
      </c>
      <c r="H51" t="s">
        <v>125</v>
      </c>
      <c r="I51" t="b">
        <v>0</v>
      </c>
    </row>
    <row r="52" spans="1:9" ht="16" hidden="1" x14ac:dyDescent="0.2">
      <c r="A52" t="s">
        <v>123</v>
      </c>
      <c r="B52" s="5">
        <v>45211</v>
      </c>
      <c r="C52" s="3">
        <v>0.58333333333333337</v>
      </c>
      <c r="D52" s="5">
        <v>45211</v>
      </c>
      <c r="E52" s="3">
        <v>0.625</v>
      </c>
      <c r="F52" t="b">
        <v>0</v>
      </c>
      <c r="G52" s="4" t="s">
        <v>124</v>
      </c>
      <c r="H52" t="s">
        <v>125</v>
      </c>
      <c r="I52" t="b">
        <v>0</v>
      </c>
    </row>
    <row r="53" spans="1:9" ht="16" hidden="1" x14ac:dyDescent="0.2">
      <c r="A53" t="s">
        <v>123</v>
      </c>
      <c r="B53" s="5">
        <v>45216</v>
      </c>
      <c r="C53" s="3">
        <v>0.625</v>
      </c>
      <c r="D53" s="5">
        <v>45216</v>
      </c>
      <c r="E53" s="3">
        <v>0.66666666666666663</v>
      </c>
      <c r="F53" t="b">
        <v>0</v>
      </c>
      <c r="G53" s="4" t="s">
        <v>124</v>
      </c>
      <c r="H53" t="s">
        <v>125</v>
      </c>
      <c r="I53" t="b">
        <v>0</v>
      </c>
    </row>
    <row r="54" spans="1:9" ht="16" hidden="1" x14ac:dyDescent="0.2">
      <c r="A54" t="s">
        <v>123</v>
      </c>
      <c r="B54" s="5">
        <v>45217</v>
      </c>
      <c r="C54" s="3">
        <v>0.58333333333333337</v>
      </c>
      <c r="D54" s="5">
        <v>45217</v>
      </c>
      <c r="E54" s="3">
        <v>0.625</v>
      </c>
      <c r="F54" t="b">
        <v>0</v>
      </c>
      <c r="G54" s="4" t="s">
        <v>124</v>
      </c>
      <c r="H54" t="s">
        <v>125</v>
      </c>
      <c r="I54" t="b">
        <v>0</v>
      </c>
    </row>
    <row r="55" spans="1:9" ht="16" hidden="1" x14ac:dyDescent="0.2">
      <c r="A55" t="s">
        <v>123</v>
      </c>
      <c r="B55" s="5">
        <v>45218</v>
      </c>
      <c r="C55" s="3">
        <v>0.58333333333333337</v>
      </c>
      <c r="D55" s="5">
        <v>45218</v>
      </c>
      <c r="E55" s="3">
        <v>0.625</v>
      </c>
      <c r="F55" t="b">
        <v>0</v>
      </c>
      <c r="G55" s="4" t="s">
        <v>124</v>
      </c>
      <c r="H55" t="s">
        <v>125</v>
      </c>
      <c r="I55" t="b">
        <v>0</v>
      </c>
    </row>
    <row r="56" spans="1:9" ht="16" hidden="1" x14ac:dyDescent="0.2">
      <c r="A56" t="s">
        <v>123</v>
      </c>
      <c r="B56" s="5">
        <v>45223</v>
      </c>
      <c r="C56" s="3">
        <v>0.625</v>
      </c>
      <c r="D56" s="5">
        <v>45223</v>
      </c>
      <c r="E56" s="3">
        <v>0.66666666666666663</v>
      </c>
      <c r="F56" t="b">
        <v>0</v>
      </c>
      <c r="G56" s="4" t="s">
        <v>124</v>
      </c>
      <c r="H56" t="s">
        <v>125</v>
      </c>
      <c r="I56" t="b">
        <v>0</v>
      </c>
    </row>
    <row r="57" spans="1:9" ht="16" hidden="1" x14ac:dyDescent="0.2">
      <c r="A57" t="s">
        <v>123</v>
      </c>
      <c r="B57" s="5">
        <v>45224</v>
      </c>
      <c r="C57" s="3">
        <v>0.58333333333333337</v>
      </c>
      <c r="D57" s="5">
        <v>45224</v>
      </c>
      <c r="E57" s="3">
        <v>0.625</v>
      </c>
      <c r="F57" t="b">
        <v>0</v>
      </c>
      <c r="G57" s="4" t="s">
        <v>124</v>
      </c>
      <c r="H57" t="s">
        <v>125</v>
      </c>
      <c r="I57" t="b">
        <v>0</v>
      </c>
    </row>
    <row r="58" spans="1:9" ht="16" hidden="1" x14ac:dyDescent="0.2">
      <c r="A58" t="s">
        <v>123</v>
      </c>
      <c r="B58" s="5">
        <v>45225</v>
      </c>
      <c r="C58" s="3">
        <v>0.58333333333333337</v>
      </c>
      <c r="D58" s="5">
        <v>45225</v>
      </c>
      <c r="E58" s="3">
        <v>0.625</v>
      </c>
      <c r="F58" t="b">
        <v>0</v>
      </c>
      <c r="G58" s="4" t="s">
        <v>124</v>
      </c>
      <c r="H58" t="s">
        <v>125</v>
      </c>
      <c r="I58" t="b">
        <v>0</v>
      </c>
    </row>
    <row r="59" spans="1:9" ht="16" hidden="1" x14ac:dyDescent="0.2">
      <c r="A59" t="s">
        <v>123</v>
      </c>
      <c r="B59" s="5">
        <v>45230</v>
      </c>
      <c r="C59" s="3">
        <v>0.625</v>
      </c>
      <c r="D59" s="5">
        <v>45230</v>
      </c>
      <c r="E59" s="3">
        <v>0.66666666666666663</v>
      </c>
      <c r="F59" t="b">
        <v>0</v>
      </c>
      <c r="G59" s="4" t="s">
        <v>124</v>
      </c>
      <c r="H59" t="s">
        <v>125</v>
      </c>
      <c r="I59" t="b">
        <v>0</v>
      </c>
    </row>
    <row r="60" spans="1:9" ht="16" hidden="1" x14ac:dyDescent="0.2">
      <c r="A60" t="s">
        <v>123</v>
      </c>
      <c r="B60" s="5">
        <v>45231</v>
      </c>
      <c r="C60" s="3">
        <v>0.58333333333333337</v>
      </c>
      <c r="D60" s="5">
        <v>45231</v>
      </c>
      <c r="E60" s="3">
        <v>0.625</v>
      </c>
      <c r="F60" t="b">
        <v>0</v>
      </c>
      <c r="G60" s="4" t="s">
        <v>124</v>
      </c>
      <c r="H60" t="s">
        <v>125</v>
      </c>
      <c r="I60" t="b">
        <v>0</v>
      </c>
    </row>
    <row r="61" spans="1:9" ht="16" hidden="1" x14ac:dyDescent="0.2">
      <c r="A61" t="s">
        <v>123</v>
      </c>
      <c r="B61" s="5">
        <v>45232</v>
      </c>
      <c r="C61" s="3">
        <v>0.58333333333333337</v>
      </c>
      <c r="D61" s="5">
        <v>45232</v>
      </c>
      <c r="E61" s="3">
        <v>0.625</v>
      </c>
      <c r="F61" t="b">
        <v>0</v>
      </c>
      <c r="G61" s="4" t="s">
        <v>124</v>
      </c>
      <c r="H61" t="s">
        <v>125</v>
      </c>
      <c r="I61" t="b">
        <v>0</v>
      </c>
    </row>
    <row r="62" spans="1:9" ht="16" hidden="1" x14ac:dyDescent="0.2">
      <c r="A62" t="s">
        <v>123</v>
      </c>
      <c r="B62" s="5">
        <v>45237</v>
      </c>
      <c r="C62" s="3">
        <v>0.625</v>
      </c>
      <c r="D62" s="5">
        <v>45237</v>
      </c>
      <c r="E62" s="3">
        <v>0.66666666666666663</v>
      </c>
      <c r="F62" t="b">
        <v>0</v>
      </c>
      <c r="G62" s="4" t="s">
        <v>124</v>
      </c>
      <c r="H62" t="s">
        <v>125</v>
      </c>
      <c r="I62" t="b">
        <v>0</v>
      </c>
    </row>
    <row r="63" spans="1:9" ht="16" hidden="1" x14ac:dyDescent="0.2">
      <c r="A63" t="s">
        <v>123</v>
      </c>
      <c r="B63" s="5">
        <v>45238</v>
      </c>
      <c r="C63" s="3">
        <v>0.58333333333333337</v>
      </c>
      <c r="D63" s="5">
        <v>45238</v>
      </c>
      <c r="E63" s="3">
        <v>0.625</v>
      </c>
      <c r="F63" t="b">
        <v>0</v>
      </c>
      <c r="G63" s="4" t="s">
        <v>124</v>
      </c>
      <c r="H63" t="s">
        <v>125</v>
      </c>
      <c r="I63" t="b">
        <v>0</v>
      </c>
    </row>
    <row r="64" spans="1:9" ht="16" hidden="1" x14ac:dyDescent="0.2">
      <c r="A64" t="s">
        <v>123</v>
      </c>
      <c r="B64" s="5">
        <v>45239</v>
      </c>
      <c r="C64" s="3">
        <v>0.58333333333333337</v>
      </c>
      <c r="D64" s="5">
        <v>45239</v>
      </c>
      <c r="E64" s="3">
        <v>0.625</v>
      </c>
      <c r="F64" t="b">
        <v>0</v>
      </c>
      <c r="G64" s="4" t="s">
        <v>124</v>
      </c>
      <c r="H64" t="s">
        <v>125</v>
      </c>
      <c r="I64" t="b">
        <v>0</v>
      </c>
    </row>
    <row r="65" spans="1:9" ht="16" hidden="1" x14ac:dyDescent="0.2">
      <c r="A65" t="s">
        <v>160</v>
      </c>
      <c r="B65" s="5">
        <v>45194</v>
      </c>
      <c r="C65" s="3">
        <v>0.35416666666666669</v>
      </c>
      <c r="D65" s="5">
        <v>45194</v>
      </c>
      <c r="E65" s="3">
        <v>0.39583333333333331</v>
      </c>
      <c r="F65" t="b">
        <v>0</v>
      </c>
      <c r="G65" s="4" t="s">
        <v>161</v>
      </c>
      <c r="H65" t="s">
        <v>244</v>
      </c>
      <c r="I65" t="b">
        <v>0</v>
      </c>
    </row>
    <row r="66" spans="1:9" ht="16" hidden="1" x14ac:dyDescent="0.2">
      <c r="A66" t="s">
        <v>149</v>
      </c>
      <c r="B66" s="5">
        <v>45195</v>
      </c>
      <c r="C66" s="3">
        <v>0.47916666666666669</v>
      </c>
      <c r="D66" s="5">
        <v>45195</v>
      </c>
      <c r="E66" s="3">
        <v>0.52083333333333337</v>
      </c>
      <c r="F66" t="b">
        <v>0</v>
      </c>
      <c r="G66" s="4" t="s">
        <v>150</v>
      </c>
      <c r="H66" t="s">
        <v>148</v>
      </c>
      <c r="I66" t="b">
        <v>0</v>
      </c>
    </row>
    <row r="67" spans="1:9" ht="16" hidden="1" x14ac:dyDescent="0.2">
      <c r="A67" t="s">
        <v>149</v>
      </c>
      <c r="B67" s="5">
        <v>45196</v>
      </c>
      <c r="C67" s="3">
        <v>0.58333333333333337</v>
      </c>
      <c r="D67" s="5">
        <v>45196</v>
      </c>
      <c r="E67" s="3">
        <v>0.66666666666666674</v>
      </c>
      <c r="F67" t="b">
        <v>0</v>
      </c>
      <c r="G67" s="4" t="s">
        <v>150</v>
      </c>
      <c r="H67" t="s">
        <v>148</v>
      </c>
      <c r="I67" t="b">
        <v>0</v>
      </c>
    </row>
    <row r="68" spans="1:9" ht="16" hidden="1" x14ac:dyDescent="0.2">
      <c r="A68" t="s">
        <v>149</v>
      </c>
      <c r="B68" s="5">
        <v>45201</v>
      </c>
      <c r="C68" s="3">
        <v>0.47916666666666669</v>
      </c>
      <c r="D68" s="5">
        <v>45201</v>
      </c>
      <c r="E68" s="3">
        <v>0.52083333333333337</v>
      </c>
      <c r="F68" t="b">
        <v>0</v>
      </c>
      <c r="G68" s="4" t="s">
        <v>150</v>
      </c>
      <c r="H68" t="s">
        <v>148</v>
      </c>
      <c r="I68" t="b">
        <v>0</v>
      </c>
    </row>
    <row r="69" spans="1:9" ht="16" hidden="1" x14ac:dyDescent="0.2">
      <c r="A69" t="s">
        <v>149</v>
      </c>
      <c r="B69" s="5">
        <v>45202</v>
      </c>
      <c r="C69" s="3">
        <v>0.47916666666666669</v>
      </c>
      <c r="D69" s="5">
        <v>45202</v>
      </c>
      <c r="E69" s="3">
        <v>0.52083333333333337</v>
      </c>
      <c r="F69" t="b">
        <v>0</v>
      </c>
      <c r="G69" s="4" t="s">
        <v>150</v>
      </c>
      <c r="H69" t="s">
        <v>148</v>
      </c>
      <c r="I69" t="b">
        <v>0</v>
      </c>
    </row>
    <row r="70" spans="1:9" ht="16" hidden="1" x14ac:dyDescent="0.2">
      <c r="A70" t="s">
        <v>149</v>
      </c>
      <c r="B70" s="5">
        <v>45203</v>
      </c>
      <c r="C70" s="3">
        <v>0.58333333333333337</v>
      </c>
      <c r="D70" s="5">
        <v>45203</v>
      </c>
      <c r="E70" s="3">
        <v>0.66666666666666674</v>
      </c>
      <c r="F70" t="b">
        <v>0</v>
      </c>
      <c r="G70" s="4" t="s">
        <v>150</v>
      </c>
      <c r="H70" t="s">
        <v>148</v>
      </c>
      <c r="I70" t="b">
        <v>0</v>
      </c>
    </row>
    <row r="71" spans="1:9" ht="16" hidden="1" x14ac:dyDescent="0.2">
      <c r="A71" t="s">
        <v>149</v>
      </c>
      <c r="B71" s="5">
        <v>45208</v>
      </c>
      <c r="C71" s="3">
        <v>0.47916666666666669</v>
      </c>
      <c r="D71" s="5">
        <v>45208</v>
      </c>
      <c r="E71" s="3">
        <v>0.52083333333333337</v>
      </c>
      <c r="F71" t="b">
        <v>0</v>
      </c>
      <c r="G71" s="4" t="s">
        <v>150</v>
      </c>
      <c r="H71" t="s">
        <v>148</v>
      </c>
      <c r="I71" t="b">
        <v>0</v>
      </c>
    </row>
    <row r="72" spans="1:9" ht="16" hidden="1" x14ac:dyDescent="0.2">
      <c r="A72" t="s">
        <v>149</v>
      </c>
      <c r="B72" s="5">
        <v>45209</v>
      </c>
      <c r="C72" s="3">
        <v>0.47916666666666669</v>
      </c>
      <c r="D72" s="5">
        <v>45209</v>
      </c>
      <c r="E72" s="3">
        <v>0.52083333333333337</v>
      </c>
      <c r="F72" t="b">
        <v>0</v>
      </c>
      <c r="G72" s="4" t="s">
        <v>150</v>
      </c>
      <c r="H72" t="s">
        <v>148</v>
      </c>
      <c r="I72" t="b">
        <v>0</v>
      </c>
    </row>
    <row r="73" spans="1:9" ht="16" hidden="1" x14ac:dyDescent="0.2">
      <c r="A73" t="s">
        <v>149</v>
      </c>
      <c r="B73" s="5">
        <v>45210</v>
      </c>
      <c r="C73" s="3">
        <v>0.58333333333333337</v>
      </c>
      <c r="D73" s="5">
        <v>45210</v>
      </c>
      <c r="E73" s="3">
        <v>0.66666666666666674</v>
      </c>
      <c r="F73" t="b">
        <v>0</v>
      </c>
      <c r="G73" s="4" t="s">
        <v>150</v>
      </c>
      <c r="H73" t="s">
        <v>148</v>
      </c>
      <c r="I73" t="b">
        <v>0</v>
      </c>
    </row>
    <row r="74" spans="1:9" ht="16" hidden="1" x14ac:dyDescent="0.2">
      <c r="A74" t="s">
        <v>149</v>
      </c>
      <c r="B74" s="5">
        <v>45215</v>
      </c>
      <c r="C74" s="3">
        <v>0.47916666666666669</v>
      </c>
      <c r="D74" s="5">
        <v>45215</v>
      </c>
      <c r="E74" s="3">
        <v>0.52083333333333337</v>
      </c>
      <c r="F74" t="b">
        <v>0</v>
      </c>
      <c r="G74" s="4" t="s">
        <v>150</v>
      </c>
      <c r="H74" t="s">
        <v>148</v>
      </c>
      <c r="I74" t="b">
        <v>0</v>
      </c>
    </row>
    <row r="75" spans="1:9" ht="16" hidden="1" x14ac:dyDescent="0.2">
      <c r="A75" t="s">
        <v>149</v>
      </c>
      <c r="B75" s="5">
        <v>45216</v>
      </c>
      <c r="C75" s="3">
        <v>0.47916666666666669</v>
      </c>
      <c r="D75" s="5">
        <v>45216</v>
      </c>
      <c r="E75" s="3">
        <v>0.52083333333333337</v>
      </c>
      <c r="F75" t="b">
        <v>0</v>
      </c>
      <c r="G75" s="4" t="s">
        <v>150</v>
      </c>
      <c r="H75" t="s">
        <v>148</v>
      </c>
      <c r="I75" t="b">
        <v>0</v>
      </c>
    </row>
    <row r="76" spans="1:9" ht="16" hidden="1" x14ac:dyDescent="0.2">
      <c r="A76" t="s">
        <v>149</v>
      </c>
      <c r="B76" s="5">
        <v>45217</v>
      </c>
      <c r="C76" s="3">
        <v>0.58333333333333337</v>
      </c>
      <c r="D76" s="5">
        <v>45217</v>
      </c>
      <c r="E76" s="3">
        <v>0.66666666666666674</v>
      </c>
      <c r="F76" t="b">
        <v>0</v>
      </c>
      <c r="G76" s="4" t="s">
        <v>150</v>
      </c>
      <c r="H76" t="s">
        <v>148</v>
      </c>
      <c r="I76" t="b">
        <v>0</v>
      </c>
    </row>
    <row r="77" spans="1:9" ht="16" hidden="1" x14ac:dyDescent="0.2">
      <c r="A77" t="s">
        <v>149</v>
      </c>
      <c r="B77" s="5">
        <v>45222</v>
      </c>
      <c r="C77" s="3">
        <v>0.47916666666666669</v>
      </c>
      <c r="D77" s="5">
        <v>45222</v>
      </c>
      <c r="E77" s="3">
        <v>0.52083333333333337</v>
      </c>
      <c r="F77" t="b">
        <v>0</v>
      </c>
      <c r="G77" s="4" t="s">
        <v>150</v>
      </c>
      <c r="H77" t="s">
        <v>148</v>
      </c>
      <c r="I77" t="b">
        <v>0</v>
      </c>
    </row>
    <row r="78" spans="1:9" ht="16" hidden="1" x14ac:dyDescent="0.2">
      <c r="A78" t="s">
        <v>149</v>
      </c>
      <c r="B78" s="5">
        <v>45223</v>
      </c>
      <c r="C78" s="3">
        <v>0.47916666666666669</v>
      </c>
      <c r="D78" s="5">
        <v>45223</v>
      </c>
      <c r="E78" s="3">
        <v>0.52083333333333337</v>
      </c>
      <c r="F78" t="b">
        <v>0</v>
      </c>
      <c r="G78" s="4" t="s">
        <v>150</v>
      </c>
      <c r="H78" t="s">
        <v>148</v>
      </c>
      <c r="I78" t="b">
        <v>0</v>
      </c>
    </row>
    <row r="79" spans="1:9" ht="16" hidden="1" x14ac:dyDescent="0.2">
      <c r="A79" t="s">
        <v>149</v>
      </c>
      <c r="B79" s="5">
        <v>45224</v>
      </c>
      <c r="C79" s="3">
        <v>0.58333333333333337</v>
      </c>
      <c r="D79" s="5">
        <v>45224</v>
      </c>
      <c r="E79" s="3">
        <v>0.66666666666666674</v>
      </c>
      <c r="F79" t="b">
        <v>0</v>
      </c>
      <c r="G79" s="4" t="s">
        <v>150</v>
      </c>
      <c r="H79" t="s">
        <v>148</v>
      </c>
      <c r="I79" t="b">
        <v>0</v>
      </c>
    </row>
    <row r="80" spans="1:9" ht="16" hidden="1" x14ac:dyDescent="0.2">
      <c r="A80" t="s">
        <v>149</v>
      </c>
      <c r="B80" s="5">
        <v>45229</v>
      </c>
      <c r="C80" s="3">
        <v>0.47916666666666669</v>
      </c>
      <c r="D80" s="5">
        <v>45229</v>
      </c>
      <c r="E80" s="3">
        <v>0.52083333333333337</v>
      </c>
      <c r="F80" t="b">
        <v>0</v>
      </c>
      <c r="G80" s="4" t="s">
        <v>150</v>
      </c>
      <c r="H80" t="s">
        <v>148</v>
      </c>
      <c r="I80" t="b">
        <v>0</v>
      </c>
    </row>
    <row r="81" spans="1:9" ht="16" hidden="1" x14ac:dyDescent="0.2">
      <c r="A81" t="s">
        <v>149</v>
      </c>
      <c r="B81" s="5">
        <v>45230</v>
      </c>
      <c r="C81" s="3">
        <v>0.47916666666666669</v>
      </c>
      <c r="D81" s="5">
        <v>45230</v>
      </c>
      <c r="E81" s="3">
        <v>0.52083333333333337</v>
      </c>
      <c r="F81" t="b">
        <v>0</v>
      </c>
      <c r="G81" s="4" t="s">
        <v>150</v>
      </c>
      <c r="H81" t="s">
        <v>148</v>
      </c>
      <c r="I81" t="b">
        <v>0</v>
      </c>
    </row>
    <row r="82" spans="1:9" ht="16" hidden="1" x14ac:dyDescent="0.2">
      <c r="A82" t="s">
        <v>149</v>
      </c>
      <c r="B82" s="5">
        <v>45231</v>
      </c>
      <c r="C82" s="3">
        <v>0.58333333333333337</v>
      </c>
      <c r="D82" s="5">
        <v>45231</v>
      </c>
      <c r="E82" s="3">
        <v>0.66666666666666674</v>
      </c>
      <c r="F82" t="b">
        <v>0</v>
      </c>
      <c r="G82" s="4" t="s">
        <v>150</v>
      </c>
      <c r="H82" t="s">
        <v>148</v>
      </c>
      <c r="I82" t="b">
        <v>0</v>
      </c>
    </row>
    <row r="83" spans="1:9" ht="16" hidden="1" x14ac:dyDescent="0.2">
      <c r="A83" t="s">
        <v>149</v>
      </c>
      <c r="B83" s="5">
        <v>45236</v>
      </c>
      <c r="C83" s="3">
        <v>0.47916666666666669</v>
      </c>
      <c r="D83" s="5">
        <v>45236</v>
      </c>
      <c r="E83" s="3">
        <v>0.52083333333333337</v>
      </c>
      <c r="F83" t="b">
        <v>0</v>
      </c>
      <c r="G83" s="4" t="s">
        <v>150</v>
      </c>
      <c r="H83" t="s">
        <v>148</v>
      </c>
      <c r="I83" t="b">
        <v>0</v>
      </c>
    </row>
    <row r="84" spans="1:9" ht="16" hidden="1" x14ac:dyDescent="0.2">
      <c r="A84" t="s">
        <v>149</v>
      </c>
      <c r="B84" s="5">
        <v>45237</v>
      </c>
      <c r="C84" s="3">
        <v>0.47916666666666669</v>
      </c>
      <c r="D84" s="5">
        <v>45237</v>
      </c>
      <c r="E84" s="3">
        <v>0.52083333333333337</v>
      </c>
      <c r="F84" t="b">
        <v>0</v>
      </c>
      <c r="G84" s="4" t="s">
        <v>150</v>
      </c>
      <c r="H84" t="s">
        <v>148</v>
      </c>
      <c r="I84" t="b">
        <v>0</v>
      </c>
    </row>
    <row r="85" spans="1:9" ht="16" hidden="1" x14ac:dyDescent="0.2">
      <c r="A85" t="s">
        <v>149</v>
      </c>
      <c r="B85" s="5">
        <v>45238</v>
      </c>
      <c r="C85" s="3">
        <v>0.58333333333333337</v>
      </c>
      <c r="D85" s="5">
        <v>45238</v>
      </c>
      <c r="E85" s="3">
        <v>0.66666666666666674</v>
      </c>
      <c r="F85" t="b">
        <v>0</v>
      </c>
      <c r="G85" s="4" t="s">
        <v>150</v>
      </c>
      <c r="H85" t="s">
        <v>148</v>
      </c>
      <c r="I85" t="b">
        <v>0</v>
      </c>
    </row>
    <row r="86" spans="1:9" ht="16" hidden="1" x14ac:dyDescent="0.2">
      <c r="A86" t="s">
        <v>146</v>
      </c>
      <c r="B86" s="5">
        <v>45195</v>
      </c>
      <c r="C86" s="3">
        <v>0.35416666666666669</v>
      </c>
      <c r="D86" s="5">
        <v>45195</v>
      </c>
      <c r="E86" s="3">
        <v>0.39583333333333337</v>
      </c>
      <c r="F86" t="b">
        <v>0</v>
      </c>
      <c r="G86" s="4" t="s">
        <v>147</v>
      </c>
      <c r="H86" t="s">
        <v>148</v>
      </c>
      <c r="I86" t="b">
        <v>0</v>
      </c>
    </row>
    <row r="87" spans="1:9" ht="16" hidden="1" x14ac:dyDescent="0.2">
      <c r="A87" t="s">
        <v>146</v>
      </c>
      <c r="B87" s="5">
        <v>45197</v>
      </c>
      <c r="C87" s="3">
        <v>0.47916666666666669</v>
      </c>
      <c r="D87" s="5">
        <v>45197</v>
      </c>
      <c r="E87" s="3">
        <v>0.52083333333333337</v>
      </c>
      <c r="F87" t="b">
        <v>0</v>
      </c>
      <c r="G87" s="4" t="s">
        <v>147</v>
      </c>
      <c r="H87" t="s">
        <v>148</v>
      </c>
      <c r="I87" t="b">
        <v>0</v>
      </c>
    </row>
    <row r="88" spans="1:9" ht="16" hidden="1" x14ac:dyDescent="0.2">
      <c r="A88" t="s">
        <v>146</v>
      </c>
      <c r="B88" s="5">
        <v>45198</v>
      </c>
      <c r="C88" s="3">
        <v>0.39583333333333331</v>
      </c>
      <c r="D88" s="5">
        <v>45198</v>
      </c>
      <c r="E88" s="3">
        <v>0.4375</v>
      </c>
      <c r="F88" t="b">
        <v>0</v>
      </c>
      <c r="G88" s="4" t="s">
        <v>147</v>
      </c>
      <c r="H88" t="s">
        <v>148</v>
      </c>
      <c r="I88" t="b">
        <v>0</v>
      </c>
    </row>
    <row r="89" spans="1:9" ht="16" hidden="1" x14ac:dyDescent="0.2">
      <c r="A89" t="s">
        <v>146</v>
      </c>
      <c r="B89" s="5">
        <v>45202</v>
      </c>
      <c r="C89" s="3">
        <v>0.35416666666666669</v>
      </c>
      <c r="D89" s="5">
        <v>45202</v>
      </c>
      <c r="E89" s="3">
        <v>0.39583333333333337</v>
      </c>
      <c r="F89" t="b">
        <v>0</v>
      </c>
      <c r="G89" s="4" t="s">
        <v>147</v>
      </c>
      <c r="H89" t="s">
        <v>148</v>
      </c>
      <c r="I89" t="b">
        <v>0</v>
      </c>
    </row>
    <row r="90" spans="1:9" ht="16" hidden="1" x14ac:dyDescent="0.2">
      <c r="A90" t="s">
        <v>146</v>
      </c>
      <c r="B90" s="5">
        <v>45204</v>
      </c>
      <c r="C90" s="3">
        <v>0.47916666666666669</v>
      </c>
      <c r="D90" s="5">
        <v>45204</v>
      </c>
      <c r="E90" s="3">
        <v>0.52083333333333337</v>
      </c>
      <c r="F90" t="b">
        <v>0</v>
      </c>
      <c r="G90" s="4" t="s">
        <v>147</v>
      </c>
      <c r="H90" t="s">
        <v>148</v>
      </c>
      <c r="I90" t="b">
        <v>0</v>
      </c>
    </row>
    <row r="91" spans="1:9" ht="16" hidden="1" x14ac:dyDescent="0.2">
      <c r="A91" t="s">
        <v>146</v>
      </c>
      <c r="B91" s="5">
        <v>45205</v>
      </c>
      <c r="C91" s="3">
        <v>0.39583333333333331</v>
      </c>
      <c r="D91" s="5">
        <v>45205</v>
      </c>
      <c r="E91" s="3">
        <v>0.4375</v>
      </c>
      <c r="F91" t="b">
        <v>0</v>
      </c>
      <c r="G91" s="4" t="s">
        <v>147</v>
      </c>
      <c r="H91" t="s">
        <v>148</v>
      </c>
      <c r="I91" t="b">
        <v>0</v>
      </c>
    </row>
    <row r="92" spans="1:9" ht="16" hidden="1" x14ac:dyDescent="0.2">
      <c r="A92" t="s">
        <v>146</v>
      </c>
      <c r="B92" s="5">
        <v>45209</v>
      </c>
      <c r="C92" s="3">
        <v>0.35416666666666669</v>
      </c>
      <c r="D92" s="5">
        <v>45209</v>
      </c>
      <c r="E92" s="3">
        <v>0.39583333333333337</v>
      </c>
      <c r="F92" t="b">
        <v>0</v>
      </c>
      <c r="G92" s="4" t="s">
        <v>147</v>
      </c>
      <c r="H92" t="s">
        <v>148</v>
      </c>
      <c r="I92" t="b">
        <v>0</v>
      </c>
    </row>
    <row r="93" spans="1:9" ht="16" hidden="1" x14ac:dyDescent="0.2">
      <c r="A93" t="s">
        <v>146</v>
      </c>
      <c r="B93" s="5">
        <v>45211</v>
      </c>
      <c r="C93" s="3">
        <v>0.47916666666666669</v>
      </c>
      <c r="D93" s="5">
        <v>45211</v>
      </c>
      <c r="E93" s="3">
        <v>0.52083333333333337</v>
      </c>
      <c r="F93" t="b">
        <v>0</v>
      </c>
      <c r="G93" s="4" t="s">
        <v>147</v>
      </c>
      <c r="H93" t="s">
        <v>148</v>
      </c>
      <c r="I93" t="b">
        <v>0</v>
      </c>
    </row>
    <row r="94" spans="1:9" ht="16" hidden="1" x14ac:dyDescent="0.2">
      <c r="A94" t="s">
        <v>146</v>
      </c>
      <c r="B94" s="5">
        <v>45212</v>
      </c>
      <c r="C94" s="3">
        <v>0.39583333333333331</v>
      </c>
      <c r="D94" s="5">
        <v>45212</v>
      </c>
      <c r="E94" s="3">
        <v>0.4375</v>
      </c>
      <c r="F94" t="b">
        <v>0</v>
      </c>
      <c r="G94" s="4" t="s">
        <v>147</v>
      </c>
      <c r="H94" t="s">
        <v>148</v>
      </c>
      <c r="I94" t="b">
        <v>0</v>
      </c>
    </row>
    <row r="95" spans="1:9" ht="16" hidden="1" x14ac:dyDescent="0.2">
      <c r="A95" t="s">
        <v>146</v>
      </c>
      <c r="B95" s="5">
        <v>45216</v>
      </c>
      <c r="C95" s="3">
        <v>0.35416666666666669</v>
      </c>
      <c r="D95" s="5">
        <v>45216</v>
      </c>
      <c r="E95" s="3">
        <v>0.39583333333333337</v>
      </c>
      <c r="F95" t="b">
        <v>0</v>
      </c>
      <c r="G95" s="4" t="s">
        <v>147</v>
      </c>
      <c r="H95" t="s">
        <v>148</v>
      </c>
      <c r="I95" t="b">
        <v>0</v>
      </c>
    </row>
    <row r="96" spans="1:9" ht="16" hidden="1" x14ac:dyDescent="0.2">
      <c r="A96" t="s">
        <v>146</v>
      </c>
      <c r="B96" s="5">
        <v>45218</v>
      </c>
      <c r="C96" s="3">
        <v>0.47916666666666669</v>
      </c>
      <c r="D96" s="5">
        <v>45218</v>
      </c>
      <c r="E96" s="3">
        <v>0.52083333333333337</v>
      </c>
      <c r="F96" t="b">
        <v>0</v>
      </c>
      <c r="G96" s="4" t="s">
        <v>147</v>
      </c>
      <c r="H96" t="s">
        <v>148</v>
      </c>
      <c r="I96" t="b">
        <v>0</v>
      </c>
    </row>
    <row r="97" spans="1:9" ht="16" hidden="1" x14ac:dyDescent="0.2">
      <c r="A97" t="s">
        <v>146</v>
      </c>
      <c r="B97" s="5">
        <v>45219</v>
      </c>
      <c r="C97" s="3">
        <v>0.39583333333333331</v>
      </c>
      <c r="D97" s="5">
        <v>45219</v>
      </c>
      <c r="E97" s="3">
        <v>0.4375</v>
      </c>
      <c r="F97" t="b">
        <v>0</v>
      </c>
      <c r="G97" s="4" t="s">
        <v>147</v>
      </c>
      <c r="H97" t="s">
        <v>148</v>
      </c>
      <c r="I97" t="b">
        <v>0</v>
      </c>
    </row>
    <row r="98" spans="1:9" ht="16" hidden="1" x14ac:dyDescent="0.2">
      <c r="A98" t="s">
        <v>146</v>
      </c>
      <c r="B98" s="5">
        <v>45223</v>
      </c>
      <c r="C98" s="3">
        <v>0.35416666666666669</v>
      </c>
      <c r="D98" s="5">
        <v>45223</v>
      </c>
      <c r="E98" s="3">
        <v>0.39583333333333337</v>
      </c>
      <c r="F98" t="b">
        <v>0</v>
      </c>
      <c r="G98" s="4" t="s">
        <v>147</v>
      </c>
      <c r="H98" t="s">
        <v>148</v>
      </c>
      <c r="I98" t="b">
        <v>0</v>
      </c>
    </row>
    <row r="99" spans="1:9" ht="16" hidden="1" x14ac:dyDescent="0.2">
      <c r="A99" t="s">
        <v>146</v>
      </c>
      <c r="B99" s="5">
        <v>45225</v>
      </c>
      <c r="C99" s="3">
        <v>0.47916666666666669</v>
      </c>
      <c r="D99" s="5">
        <v>45225</v>
      </c>
      <c r="E99" s="3">
        <v>0.52083333333333337</v>
      </c>
      <c r="F99" t="b">
        <v>0</v>
      </c>
      <c r="G99" s="4" t="s">
        <v>147</v>
      </c>
      <c r="H99" t="s">
        <v>148</v>
      </c>
      <c r="I99" t="b">
        <v>0</v>
      </c>
    </row>
    <row r="100" spans="1:9" ht="16" hidden="1" x14ac:dyDescent="0.2">
      <c r="A100" t="s">
        <v>146</v>
      </c>
      <c r="B100" s="5">
        <v>45226</v>
      </c>
      <c r="C100" s="3">
        <v>0.39583333333333331</v>
      </c>
      <c r="D100" s="5">
        <v>45226</v>
      </c>
      <c r="E100" s="3">
        <v>0.4375</v>
      </c>
      <c r="F100" t="b">
        <v>0</v>
      </c>
      <c r="G100" s="4" t="s">
        <v>147</v>
      </c>
      <c r="H100" t="s">
        <v>148</v>
      </c>
      <c r="I100" t="b">
        <v>0</v>
      </c>
    </row>
    <row r="101" spans="1:9" ht="16" hidden="1" x14ac:dyDescent="0.2">
      <c r="A101" t="s">
        <v>146</v>
      </c>
      <c r="B101" s="5">
        <v>45230</v>
      </c>
      <c r="C101" s="3">
        <v>0.35416666666666669</v>
      </c>
      <c r="D101" s="5">
        <v>45230</v>
      </c>
      <c r="E101" s="3">
        <v>0.39583333333333337</v>
      </c>
      <c r="F101" t="b">
        <v>0</v>
      </c>
      <c r="G101" s="4" t="s">
        <v>147</v>
      </c>
      <c r="H101" t="s">
        <v>148</v>
      </c>
      <c r="I101" t="b">
        <v>0</v>
      </c>
    </row>
    <row r="102" spans="1:9" ht="16" hidden="1" x14ac:dyDescent="0.2">
      <c r="A102" t="s">
        <v>146</v>
      </c>
      <c r="B102" s="5">
        <v>45232</v>
      </c>
      <c r="C102" s="3">
        <v>0.47916666666666669</v>
      </c>
      <c r="D102" s="5">
        <v>45232</v>
      </c>
      <c r="E102" s="3">
        <v>0.52083333333333337</v>
      </c>
      <c r="F102" t="b">
        <v>0</v>
      </c>
      <c r="G102" s="4" t="s">
        <v>147</v>
      </c>
      <c r="H102" t="s">
        <v>148</v>
      </c>
      <c r="I102" t="b">
        <v>0</v>
      </c>
    </row>
    <row r="103" spans="1:9" ht="16" hidden="1" x14ac:dyDescent="0.2">
      <c r="A103" t="s">
        <v>146</v>
      </c>
      <c r="B103" s="5">
        <v>45233</v>
      </c>
      <c r="C103" s="3">
        <v>0.39583333333333331</v>
      </c>
      <c r="D103" s="5">
        <v>45233</v>
      </c>
      <c r="E103" s="3">
        <v>0.4375</v>
      </c>
      <c r="F103" t="b">
        <v>0</v>
      </c>
      <c r="G103" s="4" t="s">
        <v>147</v>
      </c>
      <c r="H103" t="s">
        <v>148</v>
      </c>
      <c r="I103" t="b">
        <v>0</v>
      </c>
    </row>
    <row r="104" spans="1:9" ht="16" hidden="1" x14ac:dyDescent="0.2">
      <c r="A104" t="s">
        <v>146</v>
      </c>
      <c r="B104" s="5">
        <v>45237</v>
      </c>
      <c r="C104" s="3">
        <v>0.35416666666666669</v>
      </c>
      <c r="D104" s="5">
        <v>45237</v>
      </c>
      <c r="E104" s="3">
        <v>0.39583333333333337</v>
      </c>
      <c r="F104" t="b">
        <v>0</v>
      </c>
      <c r="G104" s="4" t="s">
        <v>147</v>
      </c>
      <c r="H104" t="s">
        <v>148</v>
      </c>
      <c r="I104" t="b">
        <v>0</v>
      </c>
    </row>
    <row r="105" spans="1:9" ht="16" hidden="1" x14ac:dyDescent="0.2">
      <c r="A105" t="s">
        <v>146</v>
      </c>
      <c r="B105" s="5">
        <v>45239</v>
      </c>
      <c r="C105" s="3">
        <v>0.47916666666666669</v>
      </c>
      <c r="D105" s="5">
        <v>45239</v>
      </c>
      <c r="E105" s="3">
        <v>0.52083333333333337</v>
      </c>
      <c r="F105" t="b">
        <v>0</v>
      </c>
      <c r="G105" s="4" t="s">
        <v>147</v>
      </c>
      <c r="H105" t="s">
        <v>148</v>
      </c>
      <c r="I105" t="b">
        <v>0</v>
      </c>
    </row>
    <row r="106" spans="1:9" ht="16" hidden="1" x14ac:dyDescent="0.2">
      <c r="A106" t="s">
        <v>146</v>
      </c>
      <c r="B106" s="5">
        <v>45240</v>
      </c>
      <c r="C106" s="3">
        <v>0.39583333333333331</v>
      </c>
      <c r="D106" s="5">
        <v>45240</v>
      </c>
      <c r="E106" s="3">
        <v>0.4375</v>
      </c>
      <c r="F106" t="b">
        <v>0</v>
      </c>
      <c r="G106" s="4" t="s">
        <v>147</v>
      </c>
      <c r="H106" t="s">
        <v>148</v>
      </c>
      <c r="I106" t="b">
        <v>0</v>
      </c>
    </row>
    <row r="107" spans="1:9" ht="16" hidden="1" x14ac:dyDescent="0.2">
      <c r="A107" t="s">
        <v>168</v>
      </c>
      <c r="B107" s="5">
        <v>45194</v>
      </c>
      <c r="C107" s="3">
        <v>0.35416666666666669</v>
      </c>
      <c r="D107" s="5">
        <v>45194</v>
      </c>
      <c r="E107" s="3">
        <v>0.39583333333333331</v>
      </c>
      <c r="F107" t="b">
        <v>0</v>
      </c>
      <c r="G107" s="4" t="s">
        <v>169</v>
      </c>
      <c r="H107" t="s">
        <v>125</v>
      </c>
      <c r="I107" t="b">
        <v>0</v>
      </c>
    </row>
    <row r="108" spans="1:9" ht="16" hidden="1" x14ac:dyDescent="0.2">
      <c r="A108" t="s">
        <v>151</v>
      </c>
      <c r="B108" s="5">
        <v>45195</v>
      </c>
      <c r="C108" s="3">
        <v>0.39583333333333331</v>
      </c>
      <c r="D108" s="5">
        <v>45195</v>
      </c>
      <c r="E108" s="3">
        <v>0.4375</v>
      </c>
      <c r="F108" t="b">
        <v>0</v>
      </c>
      <c r="G108" s="4" t="s">
        <v>152</v>
      </c>
      <c r="H108" t="s">
        <v>148</v>
      </c>
      <c r="I108" t="b">
        <v>0</v>
      </c>
    </row>
    <row r="109" spans="1:9" ht="16" hidden="1" x14ac:dyDescent="0.2">
      <c r="A109" t="s">
        <v>151</v>
      </c>
      <c r="B109" s="5">
        <v>45196</v>
      </c>
      <c r="C109" s="3">
        <v>0.35416666666666669</v>
      </c>
      <c r="D109" s="5">
        <v>45196</v>
      </c>
      <c r="E109" s="3">
        <v>0.39583333333333337</v>
      </c>
      <c r="F109" t="b">
        <v>0</v>
      </c>
      <c r="G109" s="4" t="s">
        <v>152</v>
      </c>
      <c r="H109" t="s">
        <v>148</v>
      </c>
      <c r="I109" t="b">
        <v>0</v>
      </c>
    </row>
    <row r="110" spans="1:9" ht="16" hidden="1" x14ac:dyDescent="0.2">
      <c r="A110" t="s">
        <v>151</v>
      </c>
      <c r="B110" s="5">
        <v>45201</v>
      </c>
      <c r="C110" s="3">
        <v>0.58333333333333337</v>
      </c>
      <c r="D110" s="5">
        <v>45201</v>
      </c>
      <c r="E110" s="3">
        <v>0.66666666666666674</v>
      </c>
      <c r="F110" t="b">
        <v>0</v>
      </c>
      <c r="G110" s="4" t="s">
        <v>152</v>
      </c>
      <c r="H110" t="s">
        <v>148</v>
      </c>
      <c r="I110" t="b">
        <v>0</v>
      </c>
    </row>
    <row r="111" spans="1:9" ht="16" hidden="1" x14ac:dyDescent="0.2">
      <c r="A111" t="s">
        <v>151</v>
      </c>
      <c r="B111" s="5">
        <v>45202</v>
      </c>
      <c r="C111" s="3">
        <v>0.39583333333333331</v>
      </c>
      <c r="D111" s="5">
        <v>45202</v>
      </c>
      <c r="E111" s="3">
        <v>0.4375</v>
      </c>
      <c r="F111" t="b">
        <v>0</v>
      </c>
      <c r="G111" s="4" t="s">
        <v>152</v>
      </c>
      <c r="H111" t="s">
        <v>148</v>
      </c>
      <c r="I111" t="b">
        <v>0</v>
      </c>
    </row>
    <row r="112" spans="1:9" ht="16" hidden="1" x14ac:dyDescent="0.2">
      <c r="A112" t="s">
        <v>151</v>
      </c>
      <c r="B112" s="5">
        <v>45203</v>
      </c>
      <c r="C112" s="3">
        <v>0.35416666666666669</v>
      </c>
      <c r="D112" s="5">
        <v>45203</v>
      </c>
      <c r="E112" s="3">
        <v>0.39583333333333337</v>
      </c>
      <c r="F112" t="b">
        <v>0</v>
      </c>
      <c r="G112" s="4" t="s">
        <v>152</v>
      </c>
      <c r="H112" t="s">
        <v>148</v>
      </c>
      <c r="I112" t="b">
        <v>0</v>
      </c>
    </row>
    <row r="113" spans="1:9" ht="16" hidden="1" x14ac:dyDescent="0.2">
      <c r="A113" t="s">
        <v>151</v>
      </c>
      <c r="B113" s="5">
        <v>45208</v>
      </c>
      <c r="C113" s="3">
        <v>0.58333333333333337</v>
      </c>
      <c r="D113" s="5">
        <v>45208</v>
      </c>
      <c r="E113" s="3">
        <v>0.66666666666666674</v>
      </c>
      <c r="F113" t="b">
        <v>0</v>
      </c>
      <c r="G113" s="4" t="s">
        <v>152</v>
      </c>
      <c r="H113" t="s">
        <v>148</v>
      </c>
      <c r="I113" t="b">
        <v>0</v>
      </c>
    </row>
    <row r="114" spans="1:9" ht="16" hidden="1" x14ac:dyDescent="0.2">
      <c r="A114" t="s">
        <v>151</v>
      </c>
      <c r="B114" s="5">
        <v>45209</v>
      </c>
      <c r="C114" s="3">
        <v>0.39583333333333331</v>
      </c>
      <c r="D114" s="5">
        <v>45209</v>
      </c>
      <c r="E114" s="3">
        <v>0.4375</v>
      </c>
      <c r="F114" t="b">
        <v>0</v>
      </c>
      <c r="G114" s="4" t="s">
        <v>152</v>
      </c>
      <c r="H114" t="s">
        <v>148</v>
      </c>
      <c r="I114" t="b">
        <v>0</v>
      </c>
    </row>
    <row r="115" spans="1:9" ht="16" hidden="1" x14ac:dyDescent="0.2">
      <c r="A115" t="s">
        <v>151</v>
      </c>
      <c r="B115" s="5">
        <v>45210</v>
      </c>
      <c r="C115" s="3">
        <v>0.35416666666666669</v>
      </c>
      <c r="D115" s="5">
        <v>45210</v>
      </c>
      <c r="E115" s="3">
        <v>0.39583333333333337</v>
      </c>
      <c r="F115" t="b">
        <v>0</v>
      </c>
      <c r="G115" s="4" t="s">
        <v>152</v>
      </c>
      <c r="H115" t="s">
        <v>148</v>
      </c>
      <c r="I115" t="b">
        <v>0</v>
      </c>
    </row>
    <row r="116" spans="1:9" ht="16" hidden="1" x14ac:dyDescent="0.2">
      <c r="A116" t="s">
        <v>151</v>
      </c>
      <c r="B116" s="5">
        <v>45215</v>
      </c>
      <c r="C116" s="3">
        <v>0.58333333333333337</v>
      </c>
      <c r="D116" s="5">
        <v>45215</v>
      </c>
      <c r="E116" s="3">
        <v>0.66666666666666674</v>
      </c>
      <c r="F116" t="b">
        <v>0</v>
      </c>
      <c r="G116" s="4" t="s">
        <v>152</v>
      </c>
      <c r="H116" t="s">
        <v>148</v>
      </c>
      <c r="I116" t="b">
        <v>0</v>
      </c>
    </row>
    <row r="117" spans="1:9" ht="16" hidden="1" x14ac:dyDescent="0.2">
      <c r="A117" t="s">
        <v>151</v>
      </c>
      <c r="B117" s="5">
        <v>45216</v>
      </c>
      <c r="C117" s="3">
        <v>0.39583333333333331</v>
      </c>
      <c r="D117" s="5">
        <v>45216</v>
      </c>
      <c r="E117" s="3">
        <v>0.4375</v>
      </c>
      <c r="F117" t="b">
        <v>0</v>
      </c>
      <c r="G117" s="4" t="s">
        <v>152</v>
      </c>
      <c r="H117" t="s">
        <v>148</v>
      </c>
      <c r="I117" t="b">
        <v>0</v>
      </c>
    </row>
    <row r="118" spans="1:9" ht="16" hidden="1" x14ac:dyDescent="0.2">
      <c r="A118" t="s">
        <v>151</v>
      </c>
      <c r="B118" s="5">
        <v>45217</v>
      </c>
      <c r="C118" s="3">
        <v>0.35416666666666669</v>
      </c>
      <c r="D118" s="5">
        <v>45217</v>
      </c>
      <c r="E118" s="3">
        <v>0.39583333333333337</v>
      </c>
      <c r="F118" t="b">
        <v>0</v>
      </c>
      <c r="G118" s="4" t="s">
        <v>152</v>
      </c>
      <c r="H118" t="s">
        <v>148</v>
      </c>
      <c r="I118" t="b">
        <v>0</v>
      </c>
    </row>
    <row r="119" spans="1:9" ht="16" hidden="1" x14ac:dyDescent="0.2">
      <c r="A119" t="s">
        <v>151</v>
      </c>
      <c r="B119" s="5">
        <v>45222</v>
      </c>
      <c r="C119" s="3">
        <v>0.58333333333333337</v>
      </c>
      <c r="D119" s="5">
        <v>45222</v>
      </c>
      <c r="E119" s="3">
        <v>0.66666666666666674</v>
      </c>
      <c r="F119" t="b">
        <v>0</v>
      </c>
      <c r="G119" s="4" t="s">
        <v>152</v>
      </c>
      <c r="H119" t="s">
        <v>148</v>
      </c>
      <c r="I119" t="b">
        <v>0</v>
      </c>
    </row>
    <row r="120" spans="1:9" ht="16" hidden="1" x14ac:dyDescent="0.2">
      <c r="A120" t="s">
        <v>151</v>
      </c>
      <c r="B120" s="5">
        <v>45223</v>
      </c>
      <c r="C120" s="3">
        <v>0.39583333333333331</v>
      </c>
      <c r="D120" s="5">
        <v>45223</v>
      </c>
      <c r="E120" s="3">
        <v>0.4375</v>
      </c>
      <c r="F120" t="b">
        <v>0</v>
      </c>
      <c r="G120" s="4" t="s">
        <v>152</v>
      </c>
      <c r="H120" t="s">
        <v>148</v>
      </c>
      <c r="I120" t="b">
        <v>0</v>
      </c>
    </row>
    <row r="121" spans="1:9" ht="15" hidden="1" customHeight="1" x14ac:dyDescent="0.2">
      <c r="A121" t="s">
        <v>151</v>
      </c>
      <c r="B121" s="5">
        <v>45224</v>
      </c>
      <c r="C121" s="3">
        <v>0.35416666666666669</v>
      </c>
      <c r="D121" s="5">
        <v>45224</v>
      </c>
      <c r="E121" s="3">
        <v>0.39583333333333337</v>
      </c>
      <c r="F121" t="b">
        <v>0</v>
      </c>
      <c r="G121" s="4" t="s">
        <v>152</v>
      </c>
      <c r="H121" t="s">
        <v>148</v>
      </c>
      <c r="I121" t="b">
        <v>0</v>
      </c>
    </row>
    <row r="122" spans="1:9" ht="15" hidden="1" customHeight="1" x14ac:dyDescent="0.2">
      <c r="A122" t="s">
        <v>151</v>
      </c>
      <c r="B122" s="5">
        <v>45229</v>
      </c>
      <c r="C122" s="3">
        <v>0.58333333333333337</v>
      </c>
      <c r="D122" s="5">
        <v>45229</v>
      </c>
      <c r="E122" s="3">
        <v>0.66666666666666674</v>
      </c>
      <c r="F122" t="b">
        <v>0</v>
      </c>
      <c r="G122" s="4" t="s">
        <v>152</v>
      </c>
      <c r="H122" t="s">
        <v>148</v>
      </c>
      <c r="I122" t="b">
        <v>0</v>
      </c>
    </row>
    <row r="123" spans="1:9" ht="15" hidden="1" customHeight="1" x14ac:dyDescent="0.2">
      <c r="A123" t="s">
        <v>151</v>
      </c>
      <c r="B123" s="5">
        <v>45230</v>
      </c>
      <c r="C123" s="3">
        <v>0.39583333333333331</v>
      </c>
      <c r="D123" s="5">
        <v>45230</v>
      </c>
      <c r="E123" s="3">
        <v>0.4375</v>
      </c>
      <c r="F123" t="b">
        <v>0</v>
      </c>
      <c r="G123" s="4" t="s">
        <v>152</v>
      </c>
      <c r="H123" t="s">
        <v>148</v>
      </c>
      <c r="I123" t="b">
        <v>0</v>
      </c>
    </row>
    <row r="124" spans="1:9" ht="15" hidden="1" customHeight="1" x14ac:dyDescent="0.2">
      <c r="A124" t="s">
        <v>151</v>
      </c>
      <c r="B124" s="5">
        <v>45231</v>
      </c>
      <c r="C124" s="3">
        <v>0.35416666666666669</v>
      </c>
      <c r="D124" s="5">
        <v>45231</v>
      </c>
      <c r="E124" s="3">
        <v>0.39583333333333337</v>
      </c>
      <c r="F124" t="b">
        <v>0</v>
      </c>
      <c r="G124" s="4" t="s">
        <v>152</v>
      </c>
      <c r="H124" t="s">
        <v>148</v>
      </c>
      <c r="I124" t="b">
        <v>0</v>
      </c>
    </row>
    <row r="125" spans="1:9" ht="15" hidden="1" customHeight="1" x14ac:dyDescent="0.2">
      <c r="A125" t="s">
        <v>151</v>
      </c>
      <c r="B125" s="5">
        <v>45236</v>
      </c>
      <c r="C125" s="3">
        <v>0.58333333333333337</v>
      </c>
      <c r="D125" s="5">
        <v>45236</v>
      </c>
      <c r="E125" s="3">
        <v>0.66666666666666674</v>
      </c>
      <c r="F125" t="b">
        <v>0</v>
      </c>
      <c r="G125" s="4" t="s">
        <v>152</v>
      </c>
      <c r="H125" t="s">
        <v>148</v>
      </c>
      <c r="I125" t="b">
        <v>0</v>
      </c>
    </row>
    <row r="126" spans="1:9" ht="15" hidden="1" customHeight="1" x14ac:dyDescent="0.2">
      <c r="A126" t="s">
        <v>151</v>
      </c>
      <c r="B126" s="5">
        <v>45237</v>
      </c>
      <c r="C126" s="3">
        <v>0.39583333333333331</v>
      </c>
      <c r="D126" s="5">
        <v>45237</v>
      </c>
      <c r="E126" s="3">
        <v>0.4375</v>
      </c>
      <c r="F126" t="b">
        <v>0</v>
      </c>
      <c r="G126" s="4" t="s">
        <v>152</v>
      </c>
      <c r="H126" t="s">
        <v>148</v>
      </c>
      <c r="I126" t="b">
        <v>0</v>
      </c>
    </row>
    <row r="127" spans="1:9" ht="15" hidden="1" customHeight="1" x14ac:dyDescent="0.2">
      <c r="A127" t="s">
        <v>151</v>
      </c>
      <c r="B127" s="5">
        <v>45238</v>
      </c>
      <c r="C127" s="3">
        <v>0.35416666666666669</v>
      </c>
      <c r="D127" s="5">
        <v>45238</v>
      </c>
      <c r="E127" s="3">
        <v>0.39583333333333337</v>
      </c>
      <c r="F127" t="b">
        <v>0</v>
      </c>
      <c r="G127" s="4" t="s">
        <v>152</v>
      </c>
      <c r="H127" t="s">
        <v>148</v>
      </c>
      <c r="I127" t="b">
        <v>0</v>
      </c>
    </row>
    <row r="128" spans="1:9" ht="15" hidden="1" customHeight="1" x14ac:dyDescent="0.2">
      <c r="A128" t="s">
        <v>216</v>
      </c>
      <c r="B128" s="5">
        <v>45195</v>
      </c>
      <c r="C128" s="3">
        <v>0.4375</v>
      </c>
      <c r="D128" s="5">
        <v>45195</v>
      </c>
      <c r="E128" s="3">
        <v>0.47916666666666669</v>
      </c>
      <c r="F128" t="b">
        <v>0</v>
      </c>
      <c r="G128" s="4" t="s">
        <v>217</v>
      </c>
      <c r="H128" t="s">
        <v>127</v>
      </c>
      <c r="I128" t="b">
        <v>0</v>
      </c>
    </row>
    <row r="129" spans="1:9" ht="15" hidden="1" customHeight="1" x14ac:dyDescent="0.2">
      <c r="A129" t="s">
        <v>216</v>
      </c>
      <c r="B129" s="5">
        <v>45197</v>
      </c>
      <c r="C129" s="3">
        <v>0.4375</v>
      </c>
      <c r="D129" s="5">
        <v>45197</v>
      </c>
      <c r="E129" s="3">
        <v>0.47916666666666669</v>
      </c>
      <c r="F129" t="b">
        <v>0</v>
      </c>
      <c r="G129" s="4" t="s">
        <v>217</v>
      </c>
      <c r="H129" t="s">
        <v>127</v>
      </c>
      <c r="I129" t="b">
        <v>0</v>
      </c>
    </row>
    <row r="130" spans="1:9" ht="15" hidden="1" customHeight="1" x14ac:dyDescent="0.2">
      <c r="A130" t="s">
        <v>216</v>
      </c>
      <c r="B130" s="5">
        <v>45198</v>
      </c>
      <c r="C130" s="3">
        <v>0.35416666666666669</v>
      </c>
      <c r="D130" s="5">
        <v>45198</v>
      </c>
      <c r="E130" s="3">
        <v>0.39583333333333337</v>
      </c>
      <c r="F130" t="b">
        <v>0</v>
      </c>
      <c r="G130" s="4" t="s">
        <v>217</v>
      </c>
      <c r="H130" t="s">
        <v>127</v>
      </c>
      <c r="I130" t="b">
        <v>0</v>
      </c>
    </row>
    <row r="131" spans="1:9" ht="15" hidden="1" customHeight="1" x14ac:dyDescent="0.2">
      <c r="A131" t="s">
        <v>216</v>
      </c>
      <c r="B131" s="5">
        <v>45202</v>
      </c>
      <c r="C131" s="3">
        <v>0.4375</v>
      </c>
      <c r="D131" s="5">
        <v>45202</v>
      </c>
      <c r="E131" s="3">
        <v>0.47916666666666669</v>
      </c>
      <c r="F131" t="b">
        <v>0</v>
      </c>
      <c r="G131" s="4" t="s">
        <v>217</v>
      </c>
      <c r="H131" t="s">
        <v>127</v>
      </c>
      <c r="I131" t="b">
        <v>0</v>
      </c>
    </row>
    <row r="132" spans="1:9" ht="15" hidden="1" customHeight="1" x14ac:dyDescent="0.2">
      <c r="A132" t="s">
        <v>216</v>
      </c>
      <c r="B132" s="5">
        <v>45204</v>
      </c>
      <c r="C132" s="3">
        <v>0.4375</v>
      </c>
      <c r="D132" s="5">
        <v>45204</v>
      </c>
      <c r="E132" s="3">
        <v>0.47916666666666669</v>
      </c>
      <c r="F132" t="b">
        <v>0</v>
      </c>
      <c r="G132" s="4" t="s">
        <v>217</v>
      </c>
      <c r="H132" t="s">
        <v>127</v>
      </c>
      <c r="I132" t="b">
        <v>0</v>
      </c>
    </row>
    <row r="133" spans="1:9" ht="15" hidden="1" customHeight="1" x14ac:dyDescent="0.2">
      <c r="A133" t="s">
        <v>216</v>
      </c>
      <c r="B133" s="5">
        <v>45205</v>
      </c>
      <c r="C133" s="3">
        <v>0.35416666666666669</v>
      </c>
      <c r="D133" s="5">
        <v>45205</v>
      </c>
      <c r="E133" s="3">
        <v>0.39583333333333337</v>
      </c>
      <c r="F133" t="b">
        <v>0</v>
      </c>
      <c r="G133" s="4" t="s">
        <v>217</v>
      </c>
      <c r="H133" t="s">
        <v>127</v>
      </c>
      <c r="I133" t="b">
        <v>0</v>
      </c>
    </row>
    <row r="134" spans="1:9" ht="15" hidden="1" customHeight="1" x14ac:dyDescent="0.2">
      <c r="A134" t="s">
        <v>216</v>
      </c>
      <c r="B134" s="5">
        <v>45209</v>
      </c>
      <c r="C134" s="3">
        <v>0.4375</v>
      </c>
      <c r="D134" s="5">
        <v>45209</v>
      </c>
      <c r="E134" s="3">
        <v>0.47916666666666669</v>
      </c>
      <c r="F134" t="b">
        <v>0</v>
      </c>
      <c r="G134" s="4" t="s">
        <v>217</v>
      </c>
      <c r="H134" t="s">
        <v>127</v>
      </c>
      <c r="I134" t="b">
        <v>0</v>
      </c>
    </row>
    <row r="135" spans="1:9" ht="15" hidden="1" customHeight="1" x14ac:dyDescent="0.2">
      <c r="A135" t="s">
        <v>216</v>
      </c>
      <c r="B135" s="5">
        <v>45211</v>
      </c>
      <c r="C135" s="3">
        <v>0.4375</v>
      </c>
      <c r="D135" s="5">
        <v>45211</v>
      </c>
      <c r="E135" s="3">
        <v>0.47916666666666669</v>
      </c>
      <c r="F135" t="b">
        <v>0</v>
      </c>
      <c r="G135" s="4" t="s">
        <v>217</v>
      </c>
      <c r="H135" t="s">
        <v>127</v>
      </c>
      <c r="I135" t="b">
        <v>0</v>
      </c>
    </row>
    <row r="136" spans="1:9" ht="15" hidden="1" customHeight="1" x14ac:dyDescent="0.2">
      <c r="A136" t="s">
        <v>216</v>
      </c>
      <c r="B136" s="5">
        <v>45212</v>
      </c>
      <c r="C136" s="3">
        <v>0.35416666666666669</v>
      </c>
      <c r="D136" s="5">
        <v>45212</v>
      </c>
      <c r="E136" s="3">
        <v>0.39583333333333337</v>
      </c>
      <c r="F136" t="b">
        <v>0</v>
      </c>
      <c r="G136" s="4" t="s">
        <v>217</v>
      </c>
      <c r="H136" t="s">
        <v>127</v>
      </c>
      <c r="I136" t="b">
        <v>0</v>
      </c>
    </row>
    <row r="137" spans="1:9" ht="15" hidden="1" customHeight="1" x14ac:dyDescent="0.2">
      <c r="A137" t="s">
        <v>216</v>
      </c>
      <c r="B137" s="5">
        <v>45216</v>
      </c>
      <c r="C137" s="3">
        <v>0.4375</v>
      </c>
      <c r="D137" s="5">
        <v>45216</v>
      </c>
      <c r="E137" s="3">
        <v>0.47916666666666669</v>
      </c>
      <c r="F137" t="b">
        <v>0</v>
      </c>
      <c r="G137" s="4" t="s">
        <v>217</v>
      </c>
      <c r="H137" t="s">
        <v>127</v>
      </c>
      <c r="I137" t="b">
        <v>0</v>
      </c>
    </row>
    <row r="138" spans="1:9" ht="15" hidden="1" customHeight="1" x14ac:dyDescent="0.2">
      <c r="A138" t="s">
        <v>216</v>
      </c>
      <c r="B138" s="5">
        <v>45218</v>
      </c>
      <c r="C138" s="3">
        <v>0.4375</v>
      </c>
      <c r="D138" s="5">
        <v>45218</v>
      </c>
      <c r="E138" s="3">
        <v>0.47916666666666669</v>
      </c>
      <c r="F138" t="b">
        <v>0</v>
      </c>
      <c r="G138" s="4" t="s">
        <v>217</v>
      </c>
      <c r="H138" t="s">
        <v>127</v>
      </c>
      <c r="I138" t="b">
        <v>0</v>
      </c>
    </row>
    <row r="139" spans="1:9" ht="15" hidden="1" customHeight="1" x14ac:dyDescent="0.2">
      <c r="A139" t="s">
        <v>216</v>
      </c>
      <c r="B139" s="5">
        <v>45219</v>
      </c>
      <c r="C139" s="3">
        <v>0.35416666666666669</v>
      </c>
      <c r="D139" s="5">
        <v>45219</v>
      </c>
      <c r="E139" s="3">
        <v>0.39583333333333337</v>
      </c>
      <c r="F139" t="b">
        <v>0</v>
      </c>
      <c r="G139" s="4" t="s">
        <v>217</v>
      </c>
      <c r="H139" t="s">
        <v>127</v>
      </c>
      <c r="I139" t="b">
        <v>0</v>
      </c>
    </row>
    <row r="140" spans="1:9" ht="15" hidden="1" customHeight="1" x14ac:dyDescent="0.2">
      <c r="A140" t="s">
        <v>216</v>
      </c>
      <c r="B140" s="5">
        <v>45223</v>
      </c>
      <c r="C140" s="3">
        <v>0.4375</v>
      </c>
      <c r="D140" s="5">
        <v>45223</v>
      </c>
      <c r="E140" s="3">
        <v>0.47916666666666669</v>
      </c>
      <c r="F140" t="b">
        <v>0</v>
      </c>
      <c r="G140" s="4" t="s">
        <v>217</v>
      </c>
      <c r="H140" t="s">
        <v>127</v>
      </c>
      <c r="I140" t="b">
        <v>0</v>
      </c>
    </row>
    <row r="141" spans="1:9" ht="15" hidden="1" customHeight="1" x14ac:dyDescent="0.2">
      <c r="A141" t="s">
        <v>216</v>
      </c>
      <c r="B141" s="5">
        <v>45225</v>
      </c>
      <c r="C141" s="3">
        <v>0.4375</v>
      </c>
      <c r="D141" s="5">
        <v>45225</v>
      </c>
      <c r="E141" s="3">
        <v>0.47916666666666669</v>
      </c>
      <c r="F141" t="b">
        <v>0</v>
      </c>
      <c r="G141" s="4" t="s">
        <v>217</v>
      </c>
      <c r="H141" t="s">
        <v>127</v>
      </c>
      <c r="I141" t="b">
        <v>0</v>
      </c>
    </row>
    <row r="142" spans="1:9" ht="15" hidden="1" customHeight="1" x14ac:dyDescent="0.2">
      <c r="A142" t="s">
        <v>216</v>
      </c>
      <c r="B142" s="5">
        <v>45226</v>
      </c>
      <c r="C142" s="3">
        <v>0.35416666666666669</v>
      </c>
      <c r="D142" s="5">
        <v>45226</v>
      </c>
      <c r="E142" s="3">
        <v>0.39583333333333337</v>
      </c>
      <c r="F142" t="b">
        <v>0</v>
      </c>
      <c r="G142" s="4" t="s">
        <v>217</v>
      </c>
      <c r="H142" t="s">
        <v>127</v>
      </c>
      <c r="I142" t="b">
        <v>0</v>
      </c>
    </row>
    <row r="143" spans="1:9" ht="15" hidden="1" customHeight="1" x14ac:dyDescent="0.2">
      <c r="A143" t="s">
        <v>216</v>
      </c>
      <c r="B143" s="5">
        <v>45230</v>
      </c>
      <c r="C143" s="3">
        <v>0.4375</v>
      </c>
      <c r="D143" s="5">
        <v>45230</v>
      </c>
      <c r="E143" s="3">
        <v>0.47916666666666669</v>
      </c>
      <c r="F143" t="b">
        <v>0</v>
      </c>
      <c r="G143" s="4" t="s">
        <v>217</v>
      </c>
      <c r="H143" t="s">
        <v>127</v>
      </c>
      <c r="I143" t="b">
        <v>0</v>
      </c>
    </row>
    <row r="144" spans="1:9" ht="15" hidden="1" customHeight="1" x14ac:dyDescent="0.2">
      <c r="A144" t="s">
        <v>216</v>
      </c>
      <c r="B144" s="5">
        <v>45232</v>
      </c>
      <c r="C144" s="3">
        <v>0.4375</v>
      </c>
      <c r="D144" s="5">
        <v>45232</v>
      </c>
      <c r="E144" s="3">
        <v>0.47916666666666669</v>
      </c>
      <c r="F144" t="b">
        <v>0</v>
      </c>
      <c r="G144" s="4" t="s">
        <v>217</v>
      </c>
      <c r="H144" t="s">
        <v>127</v>
      </c>
      <c r="I144" t="b">
        <v>0</v>
      </c>
    </row>
    <row r="145" spans="1:9" ht="15" hidden="1" customHeight="1" x14ac:dyDescent="0.2">
      <c r="A145" t="s">
        <v>216</v>
      </c>
      <c r="B145" s="5">
        <v>45233</v>
      </c>
      <c r="C145" s="3">
        <v>0.35416666666666669</v>
      </c>
      <c r="D145" s="5">
        <v>45233</v>
      </c>
      <c r="E145" s="3">
        <v>0.39583333333333337</v>
      </c>
      <c r="F145" t="b">
        <v>0</v>
      </c>
      <c r="G145" s="4" t="s">
        <v>217</v>
      </c>
      <c r="H145" t="s">
        <v>127</v>
      </c>
      <c r="I145" t="b">
        <v>0</v>
      </c>
    </row>
    <row r="146" spans="1:9" ht="15" hidden="1" customHeight="1" x14ac:dyDescent="0.2">
      <c r="A146" t="s">
        <v>216</v>
      </c>
      <c r="B146" s="5">
        <v>45237</v>
      </c>
      <c r="C146" s="3">
        <v>0.4375</v>
      </c>
      <c r="D146" s="5">
        <v>45237</v>
      </c>
      <c r="E146" s="3">
        <v>0.47916666666666669</v>
      </c>
      <c r="F146" t="b">
        <v>0</v>
      </c>
      <c r="G146" s="4" t="s">
        <v>217</v>
      </c>
      <c r="H146" t="s">
        <v>127</v>
      </c>
      <c r="I146" t="b">
        <v>0</v>
      </c>
    </row>
    <row r="147" spans="1:9" ht="15" hidden="1" customHeight="1" x14ac:dyDescent="0.2">
      <c r="A147" t="s">
        <v>216</v>
      </c>
      <c r="B147" s="5">
        <v>45239</v>
      </c>
      <c r="C147" s="3">
        <v>0.4375</v>
      </c>
      <c r="D147" s="5">
        <v>45239</v>
      </c>
      <c r="E147" s="3">
        <v>0.47916666666666669</v>
      </c>
      <c r="F147" t="b">
        <v>0</v>
      </c>
      <c r="G147" s="4" t="s">
        <v>217</v>
      </c>
      <c r="H147" t="s">
        <v>127</v>
      </c>
      <c r="I147" t="b">
        <v>0</v>
      </c>
    </row>
    <row r="148" spans="1:9" ht="15" hidden="1" customHeight="1" x14ac:dyDescent="0.2">
      <c r="A148" t="s">
        <v>216</v>
      </c>
      <c r="B148" s="5">
        <v>45240</v>
      </c>
      <c r="C148" s="3">
        <v>0.35416666666666669</v>
      </c>
      <c r="D148" s="5">
        <v>45240</v>
      </c>
      <c r="E148" s="3">
        <v>0.39583333333333337</v>
      </c>
      <c r="F148" t="b">
        <v>0</v>
      </c>
      <c r="G148" s="4" t="s">
        <v>217</v>
      </c>
      <c r="H148" t="s">
        <v>127</v>
      </c>
      <c r="I148" t="b">
        <v>0</v>
      </c>
    </row>
    <row r="149" spans="1:9" ht="15" hidden="1" customHeight="1" x14ac:dyDescent="0.2">
      <c r="A149" s="6" t="s">
        <v>231</v>
      </c>
      <c r="B149" s="5">
        <v>45194</v>
      </c>
      <c r="C149" s="3">
        <v>0.35416666666666669</v>
      </c>
      <c r="D149" s="5">
        <v>45194</v>
      </c>
      <c r="E149" s="3">
        <v>0.39583333333333337</v>
      </c>
      <c r="F149" t="b">
        <v>0</v>
      </c>
      <c r="G149" s="7" t="s">
        <v>232</v>
      </c>
      <c r="H149" t="s">
        <v>233</v>
      </c>
      <c r="I149" t="b">
        <v>0</v>
      </c>
    </row>
    <row r="150" spans="1:9" ht="15" hidden="1" customHeight="1" x14ac:dyDescent="0.2">
      <c r="A150" t="s">
        <v>116</v>
      </c>
      <c r="B150" s="5">
        <v>45196</v>
      </c>
      <c r="C150" s="3">
        <v>0.39583333333333331</v>
      </c>
      <c r="D150" s="5">
        <v>45196</v>
      </c>
      <c r="E150" s="3">
        <v>0.4375</v>
      </c>
      <c r="F150" t="b">
        <v>0</v>
      </c>
      <c r="G150" s="4" t="s">
        <v>117</v>
      </c>
      <c r="H150" t="s">
        <v>118</v>
      </c>
      <c r="I150" t="b">
        <v>0</v>
      </c>
    </row>
    <row r="151" spans="1:9" ht="15" hidden="1" customHeight="1" x14ac:dyDescent="0.2">
      <c r="A151" t="s">
        <v>116</v>
      </c>
      <c r="B151" s="5">
        <v>45198</v>
      </c>
      <c r="C151" s="3">
        <v>0.4375</v>
      </c>
      <c r="D151" s="5">
        <v>45198</v>
      </c>
      <c r="E151" s="3">
        <v>0.47916666666666669</v>
      </c>
      <c r="F151" t="b">
        <v>0</v>
      </c>
      <c r="G151" s="4" t="s">
        <v>117</v>
      </c>
      <c r="H151" t="s">
        <v>118</v>
      </c>
      <c r="I151" t="b">
        <v>0</v>
      </c>
    </row>
    <row r="152" spans="1:9" ht="15" hidden="1" customHeight="1" x14ac:dyDescent="0.2">
      <c r="A152" t="s">
        <v>116</v>
      </c>
      <c r="B152" s="5">
        <v>45201</v>
      </c>
      <c r="C152" s="3">
        <v>0.35416666666666669</v>
      </c>
      <c r="D152" s="5">
        <v>45201</v>
      </c>
      <c r="E152" s="3">
        <v>0.39583333333333337</v>
      </c>
      <c r="F152" t="b">
        <v>0</v>
      </c>
      <c r="G152" s="4" t="s">
        <v>117</v>
      </c>
      <c r="H152" t="s">
        <v>118</v>
      </c>
      <c r="I152" t="b">
        <v>0</v>
      </c>
    </row>
    <row r="153" spans="1:9" ht="15" hidden="1" customHeight="1" x14ac:dyDescent="0.2">
      <c r="A153" t="s">
        <v>116</v>
      </c>
      <c r="B153" s="5">
        <v>45203</v>
      </c>
      <c r="C153" s="3">
        <v>0.39583333333333331</v>
      </c>
      <c r="D153" s="5">
        <v>45203</v>
      </c>
      <c r="E153" s="3">
        <v>0.4375</v>
      </c>
      <c r="F153" t="b">
        <v>0</v>
      </c>
      <c r="G153" s="4" t="s">
        <v>117</v>
      </c>
      <c r="H153" t="s">
        <v>118</v>
      </c>
      <c r="I153" t="b">
        <v>0</v>
      </c>
    </row>
    <row r="154" spans="1:9" ht="15" hidden="1" customHeight="1" x14ac:dyDescent="0.2">
      <c r="A154" t="s">
        <v>116</v>
      </c>
      <c r="B154" s="5">
        <v>45205</v>
      </c>
      <c r="C154" s="3">
        <v>0.4375</v>
      </c>
      <c r="D154" s="5">
        <v>45205</v>
      </c>
      <c r="E154" s="3">
        <v>0.47916666666666669</v>
      </c>
      <c r="F154" t="b">
        <v>0</v>
      </c>
      <c r="G154" s="4" t="s">
        <v>117</v>
      </c>
      <c r="H154" t="s">
        <v>118</v>
      </c>
      <c r="I154" t="b">
        <v>0</v>
      </c>
    </row>
    <row r="155" spans="1:9" ht="15" hidden="1" customHeight="1" x14ac:dyDescent="0.2">
      <c r="A155" t="s">
        <v>116</v>
      </c>
      <c r="B155" s="5">
        <v>45208</v>
      </c>
      <c r="C155" s="3">
        <v>0.35416666666666669</v>
      </c>
      <c r="D155" s="5">
        <v>45208</v>
      </c>
      <c r="E155" s="3">
        <v>0.39583333333333337</v>
      </c>
      <c r="F155" t="b">
        <v>0</v>
      </c>
      <c r="G155" s="4" t="s">
        <v>117</v>
      </c>
      <c r="H155" t="s">
        <v>118</v>
      </c>
      <c r="I155" t="b">
        <v>0</v>
      </c>
    </row>
    <row r="156" spans="1:9" ht="15" hidden="1" customHeight="1" x14ac:dyDescent="0.2">
      <c r="A156" t="s">
        <v>116</v>
      </c>
      <c r="B156" s="5">
        <v>45210</v>
      </c>
      <c r="C156" s="3">
        <v>0.39583333333333331</v>
      </c>
      <c r="D156" s="5">
        <v>45210</v>
      </c>
      <c r="E156" s="3">
        <v>0.4375</v>
      </c>
      <c r="F156" t="b">
        <v>0</v>
      </c>
      <c r="G156" s="4" t="s">
        <v>117</v>
      </c>
      <c r="H156" t="s">
        <v>118</v>
      </c>
      <c r="I156" t="b">
        <v>0</v>
      </c>
    </row>
    <row r="157" spans="1:9" ht="15" hidden="1" customHeight="1" x14ac:dyDescent="0.2">
      <c r="A157" t="s">
        <v>116</v>
      </c>
      <c r="B157" s="5">
        <v>45212</v>
      </c>
      <c r="C157" s="3">
        <v>0.4375</v>
      </c>
      <c r="D157" s="5">
        <v>45212</v>
      </c>
      <c r="E157" s="3">
        <v>0.47916666666666669</v>
      </c>
      <c r="F157" t="b">
        <v>0</v>
      </c>
      <c r="G157" s="4" t="s">
        <v>117</v>
      </c>
      <c r="H157" t="s">
        <v>118</v>
      </c>
      <c r="I157" t="b">
        <v>0</v>
      </c>
    </row>
    <row r="158" spans="1:9" ht="15" hidden="1" customHeight="1" x14ac:dyDescent="0.2">
      <c r="A158" t="s">
        <v>116</v>
      </c>
      <c r="B158" s="5">
        <v>45215</v>
      </c>
      <c r="C158" s="3">
        <v>0.35416666666666669</v>
      </c>
      <c r="D158" s="5">
        <v>45215</v>
      </c>
      <c r="E158" s="3">
        <v>0.39583333333333337</v>
      </c>
      <c r="F158" t="b">
        <v>0</v>
      </c>
      <c r="G158" s="4" t="s">
        <v>117</v>
      </c>
      <c r="H158" t="s">
        <v>118</v>
      </c>
      <c r="I158" t="b">
        <v>0</v>
      </c>
    </row>
    <row r="159" spans="1:9" ht="15" hidden="1" customHeight="1" x14ac:dyDescent="0.2">
      <c r="A159" t="s">
        <v>116</v>
      </c>
      <c r="B159" s="5">
        <v>45217</v>
      </c>
      <c r="C159" s="3">
        <v>0.39583333333333331</v>
      </c>
      <c r="D159" s="5">
        <v>45217</v>
      </c>
      <c r="E159" s="3">
        <v>0.4375</v>
      </c>
      <c r="F159" t="b">
        <v>0</v>
      </c>
      <c r="G159" s="4" t="s">
        <v>117</v>
      </c>
      <c r="H159" t="s">
        <v>118</v>
      </c>
      <c r="I159" t="b">
        <v>0</v>
      </c>
    </row>
    <row r="160" spans="1:9" ht="15" hidden="1" customHeight="1" x14ac:dyDescent="0.2">
      <c r="A160" t="s">
        <v>116</v>
      </c>
      <c r="B160" s="5">
        <v>45219</v>
      </c>
      <c r="C160" s="3">
        <v>0.4375</v>
      </c>
      <c r="D160" s="5">
        <v>45219</v>
      </c>
      <c r="E160" s="3">
        <v>0.47916666666666669</v>
      </c>
      <c r="F160" t="b">
        <v>0</v>
      </c>
      <c r="G160" s="4" t="s">
        <v>117</v>
      </c>
      <c r="H160" t="s">
        <v>118</v>
      </c>
      <c r="I160" t="b">
        <v>0</v>
      </c>
    </row>
    <row r="161" spans="1:9" ht="15" hidden="1" customHeight="1" x14ac:dyDescent="0.2">
      <c r="A161" t="s">
        <v>116</v>
      </c>
      <c r="B161" s="5">
        <v>45222</v>
      </c>
      <c r="C161" s="3">
        <v>0.35416666666666669</v>
      </c>
      <c r="D161" s="5">
        <v>45222</v>
      </c>
      <c r="E161" s="3">
        <v>0.39583333333333337</v>
      </c>
      <c r="F161" t="b">
        <v>0</v>
      </c>
      <c r="G161" s="4" t="s">
        <v>117</v>
      </c>
      <c r="H161" t="s">
        <v>118</v>
      </c>
      <c r="I161" t="b">
        <v>0</v>
      </c>
    </row>
    <row r="162" spans="1:9" ht="15" hidden="1" customHeight="1" x14ac:dyDescent="0.2">
      <c r="A162" t="s">
        <v>116</v>
      </c>
      <c r="B162" s="5">
        <v>45224</v>
      </c>
      <c r="C162" s="3">
        <v>0.39583333333333331</v>
      </c>
      <c r="D162" s="5">
        <v>45224</v>
      </c>
      <c r="E162" s="3">
        <v>0.4375</v>
      </c>
      <c r="F162" t="b">
        <v>0</v>
      </c>
      <c r="G162" s="4" t="s">
        <v>117</v>
      </c>
      <c r="H162" t="s">
        <v>118</v>
      </c>
      <c r="I162" t="b">
        <v>0</v>
      </c>
    </row>
    <row r="163" spans="1:9" ht="15" hidden="1" customHeight="1" x14ac:dyDescent="0.2">
      <c r="A163" t="s">
        <v>116</v>
      </c>
      <c r="B163" s="5">
        <v>45226</v>
      </c>
      <c r="C163" s="3">
        <v>0.4375</v>
      </c>
      <c r="D163" s="5">
        <v>45226</v>
      </c>
      <c r="E163" s="3">
        <v>0.47916666666666669</v>
      </c>
      <c r="F163" t="b">
        <v>0</v>
      </c>
      <c r="G163" s="4" t="s">
        <v>117</v>
      </c>
      <c r="H163" t="s">
        <v>118</v>
      </c>
      <c r="I163" t="b">
        <v>0</v>
      </c>
    </row>
    <row r="164" spans="1:9" ht="15" hidden="1" customHeight="1" x14ac:dyDescent="0.2">
      <c r="A164" t="s">
        <v>116</v>
      </c>
      <c r="B164" s="5">
        <v>45229</v>
      </c>
      <c r="C164" s="3">
        <v>0.35416666666666669</v>
      </c>
      <c r="D164" s="5">
        <v>45229</v>
      </c>
      <c r="E164" s="3">
        <v>0.39583333333333337</v>
      </c>
      <c r="F164" t="b">
        <v>0</v>
      </c>
      <c r="G164" s="4" t="s">
        <v>117</v>
      </c>
      <c r="H164" t="s">
        <v>118</v>
      </c>
      <c r="I164" t="b">
        <v>0</v>
      </c>
    </row>
    <row r="165" spans="1:9" ht="15" hidden="1" customHeight="1" x14ac:dyDescent="0.2">
      <c r="A165" t="s">
        <v>116</v>
      </c>
      <c r="B165" s="5">
        <v>45231</v>
      </c>
      <c r="C165" s="3">
        <v>0.39583333333333331</v>
      </c>
      <c r="D165" s="5">
        <v>45231</v>
      </c>
      <c r="E165" s="3">
        <v>0.4375</v>
      </c>
      <c r="F165" t="b">
        <v>0</v>
      </c>
      <c r="G165" s="4" t="s">
        <v>117</v>
      </c>
      <c r="H165" t="s">
        <v>118</v>
      </c>
      <c r="I165" t="b">
        <v>0</v>
      </c>
    </row>
    <row r="166" spans="1:9" ht="15" hidden="1" customHeight="1" x14ac:dyDescent="0.2">
      <c r="A166" t="s">
        <v>116</v>
      </c>
      <c r="B166" s="5">
        <v>45233</v>
      </c>
      <c r="C166" s="3">
        <v>0.4375</v>
      </c>
      <c r="D166" s="5">
        <v>45233</v>
      </c>
      <c r="E166" s="3">
        <v>0.47916666666666669</v>
      </c>
      <c r="F166" t="b">
        <v>0</v>
      </c>
      <c r="G166" s="4" t="s">
        <v>117</v>
      </c>
      <c r="H166" t="s">
        <v>118</v>
      </c>
      <c r="I166" t="b">
        <v>0</v>
      </c>
    </row>
    <row r="167" spans="1:9" ht="15" hidden="1" customHeight="1" x14ac:dyDescent="0.2">
      <c r="A167" t="s">
        <v>116</v>
      </c>
      <c r="B167" s="5">
        <v>45236</v>
      </c>
      <c r="C167" s="3">
        <v>0.35416666666666669</v>
      </c>
      <c r="D167" s="5">
        <v>45236</v>
      </c>
      <c r="E167" s="3">
        <v>0.39583333333333337</v>
      </c>
      <c r="F167" t="b">
        <v>0</v>
      </c>
      <c r="G167" s="4" t="s">
        <v>117</v>
      </c>
      <c r="H167" t="s">
        <v>118</v>
      </c>
      <c r="I167" t="b">
        <v>0</v>
      </c>
    </row>
    <row r="168" spans="1:9" ht="15" hidden="1" customHeight="1" x14ac:dyDescent="0.2">
      <c r="A168" t="s">
        <v>116</v>
      </c>
      <c r="B168" s="5">
        <v>45238</v>
      </c>
      <c r="C168" s="3">
        <v>0.39583333333333331</v>
      </c>
      <c r="D168" s="5">
        <v>45238</v>
      </c>
      <c r="E168" s="3">
        <v>0.4375</v>
      </c>
      <c r="F168" t="b">
        <v>0</v>
      </c>
      <c r="G168" s="4" t="s">
        <v>117</v>
      </c>
      <c r="H168" t="s">
        <v>118</v>
      </c>
      <c r="I168" t="b">
        <v>0</v>
      </c>
    </row>
    <row r="169" spans="1:9" ht="15" hidden="1" customHeight="1" x14ac:dyDescent="0.2">
      <c r="A169" t="s">
        <v>116</v>
      </c>
      <c r="B169" s="5">
        <v>45240</v>
      </c>
      <c r="C169" s="3">
        <v>0.4375</v>
      </c>
      <c r="D169" s="5">
        <v>45240</v>
      </c>
      <c r="E169" s="3">
        <v>0.47916666666666669</v>
      </c>
      <c r="F169" t="b">
        <v>0</v>
      </c>
      <c r="G169" s="4" t="s">
        <v>117</v>
      </c>
      <c r="H169" t="s">
        <v>118</v>
      </c>
      <c r="I169" t="b">
        <v>0</v>
      </c>
    </row>
    <row r="170" spans="1:9" ht="15" hidden="1" customHeight="1" x14ac:dyDescent="0.2">
      <c r="A170" t="s">
        <v>220</v>
      </c>
      <c r="B170" s="5">
        <v>45194</v>
      </c>
      <c r="C170" s="3">
        <v>0.35416666666666669</v>
      </c>
      <c r="D170" s="5">
        <v>45194</v>
      </c>
      <c r="E170" s="3">
        <v>0.39583333333333337</v>
      </c>
      <c r="F170" t="b">
        <v>0</v>
      </c>
      <c r="G170" s="4" t="s">
        <v>221</v>
      </c>
      <c r="H170" t="s">
        <v>127</v>
      </c>
      <c r="I170" t="b">
        <v>0</v>
      </c>
    </row>
    <row r="171" spans="1:9" ht="15" hidden="1" customHeight="1" x14ac:dyDescent="0.2">
      <c r="A171" t="s">
        <v>133</v>
      </c>
      <c r="B171" s="5">
        <v>45196</v>
      </c>
      <c r="C171" s="3">
        <v>0.4375</v>
      </c>
      <c r="D171" s="5">
        <v>45196</v>
      </c>
      <c r="E171" s="3">
        <v>0.47916666666666669</v>
      </c>
      <c r="F171" t="b">
        <v>0</v>
      </c>
      <c r="G171" s="4" t="s">
        <v>135</v>
      </c>
      <c r="H171" t="s">
        <v>134</v>
      </c>
      <c r="I171" t="b">
        <v>0</v>
      </c>
    </row>
    <row r="172" spans="1:9" ht="15" hidden="1" customHeight="1" x14ac:dyDescent="0.2">
      <c r="A172" t="s">
        <v>133</v>
      </c>
      <c r="B172" s="5">
        <v>45198</v>
      </c>
      <c r="C172" s="3">
        <v>0.47916666666666669</v>
      </c>
      <c r="D172" s="5">
        <v>45198</v>
      </c>
      <c r="E172" s="3">
        <v>0.52083333333333337</v>
      </c>
      <c r="F172" t="b">
        <v>0</v>
      </c>
      <c r="G172" s="4" t="s">
        <v>135</v>
      </c>
      <c r="H172" t="s">
        <v>134</v>
      </c>
      <c r="I172" t="b">
        <v>0</v>
      </c>
    </row>
    <row r="173" spans="1:9" ht="15" hidden="1" customHeight="1" x14ac:dyDescent="0.2">
      <c r="A173" t="s">
        <v>133</v>
      </c>
      <c r="B173" s="5">
        <v>45201</v>
      </c>
      <c r="C173" s="3">
        <v>7.395833333333333</v>
      </c>
      <c r="D173" s="5">
        <v>45201</v>
      </c>
      <c r="E173" s="3">
        <v>7.4375</v>
      </c>
      <c r="F173" t="b">
        <v>0</v>
      </c>
      <c r="G173" s="4" t="s">
        <v>135</v>
      </c>
      <c r="H173" t="s">
        <v>134</v>
      </c>
      <c r="I173" t="b">
        <v>0</v>
      </c>
    </row>
    <row r="174" spans="1:9" ht="15" hidden="1" customHeight="1" x14ac:dyDescent="0.2">
      <c r="A174" t="s">
        <v>133</v>
      </c>
      <c r="B174" s="5">
        <v>45203</v>
      </c>
      <c r="C174" s="3">
        <v>7.4375</v>
      </c>
      <c r="D174" s="5">
        <v>45203</v>
      </c>
      <c r="E174" s="3">
        <v>7.479166666666667</v>
      </c>
      <c r="F174" t="b">
        <v>0</v>
      </c>
      <c r="G174" s="4" t="s">
        <v>135</v>
      </c>
      <c r="H174" t="s">
        <v>134</v>
      </c>
      <c r="I174" t="b">
        <v>0</v>
      </c>
    </row>
    <row r="175" spans="1:9" ht="15" hidden="1" customHeight="1" x14ac:dyDescent="0.2">
      <c r="A175" t="s">
        <v>133</v>
      </c>
      <c r="B175" s="5">
        <v>45205</v>
      </c>
      <c r="C175" s="3">
        <v>7.479166666666667</v>
      </c>
      <c r="D175" s="5">
        <v>45205</v>
      </c>
      <c r="E175" s="3">
        <v>7.5208333333333339</v>
      </c>
      <c r="F175" t="b">
        <v>0</v>
      </c>
      <c r="G175" s="4" t="s">
        <v>135</v>
      </c>
      <c r="H175" t="s">
        <v>134</v>
      </c>
      <c r="I175" t="b">
        <v>0</v>
      </c>
    </row>
    <row r="176" spans="1:9" ht="15" hidden="1" customHeight="1" x14ac:dyDescent="0.2">
      <c r="A176" t="s">
        <v>133</v>
      </c>
      <c r="B176" s="5">
        <v>45208</v>
      </c>
      <c r="C176" s="3">
        <v>14.395833333333332</v>
      </c>
      <c r="D176" s="5">
        <v>45208</v>
      </c>
      <c r="E176" s="3">
        <v>14.437499999999998</v>
      </c>
      <c r="F176" t="b">
        <v>0</v>
      </c>
      <c r="G176" s="4" t="s">
        <v>135</v>
      </c>
      <c r="H176" t="s">
        <v>134</v>
      </c>
      <c r="I176" t="b">
        <v>0</v>
      </c>
    </row>
    <row r="177" spans="1:9" ht="15" hidden="1" customHeight="1" x14ac:dyDescent="0.2">
      <c r="A177" t="s">
        <v>133</v>
      </c>
      <c r="B177" s="5">
        <v>45210</v>
      </c>
      <c r="C177" s="3">
        <v>14.4375</v>
      </c>
      <c r="D177" s="5">
        <v>45210</v>
      </c>
      <c r="E177" s="3">
        <v>14.479166666666666</v>
      </c>
      <c r="F177" t="b">
        <v>0</v>
      </c>
      <c r="G177" s="4" t="s">
        <v>135</v>
      </c>
      <c r="H177" t="s">
        <v>134</v>
      </c>
      <c r="I177" t="b">
        <v>0</v>
      </c>
    </row>
    <row r="178" spans="1:9" ht="15" hidden="1" customHeight="1" x14ac:dyDescent="0.2">
      <c r="A178" t="s">
        <v>133</v>
      </c>
      <c r="B178" s="5">
        <v>45212</v>
      </c>
      <c r="C178" s="3">
        <v>14.479166666666668</v>
      </c>
      <c r="D178" s="5">
        <v>45212</v>
      </c>
      <c r="E178" s="3">
        <v>14.520833333333334</v>
      </c>
      <c r="F178" t="b">
        <v>0</v>
      </c>
      <c r="G178" s="4" t="s">
        <v>135</v>
      </c>
      <c r="H178" t="s">
        <v>134</v>
      </c>
      <c r="I178" t="b">
        <v>0</v>
      </c>
    </row>
    <row r="179" spans="1:9" ht="15" hidden="1" customHeight="1" x14ac:dyDescent="0.2">
      <c r="A179" t="s">
        <v>133</v>
      </c>
      <c r="B179" s="5">
        <v>45215</v>
      </c>
      <c r="C179" s="3">
        <v>21.395833333333332</v>
      </c>
      <c r="D179" s="5">
        <v>45215</v>
      </c>
      <c r="E179" s="3">
        <v>21.4375</v>
      </c>
      <c r="F179" t="b">
        <v>0</v>
      </c>
      <c r="G179" s="4" t="s">
        <v>135</v>
      </c>
      <c r="H179" t="s">
        <v>134</v>
      </c>
      <c r="I179" t="b">
        <v>0</v>
      </c>
    </row>
    <row r="180" spans="1:9" ht="15" hidden="1" customHeight="1" x14ac:dyDescent="0.2">
      <c r="A180" t="s">
        <v>133</v>
      </c>
      <c r="B180" s="5">
        <v>45217</v>
      </c>
      <c r="C180" s="3">
        <v>21.4375</v>
      </c>
      <c r="D180" s="5">
        <v>45217</v>
      </c>
      <c r="E180" s="3">
        <v>21.479166666666668</v>
      </c>
      <c r="F180" t="b">
        <v>0</v>
      </c>
      <c r="G180" s="4" t="s">
        <v>135</v>
      </c>
      <c r="H180" t="s">
        <v>134</v>
      </c>
      <c r="I180" t="b">
        <v>0</v>
      </c>
    </row>
    <row r="181" spans="1:9" ht="15" hidden="1" customHeight="1" x14ac:dyDescent="0.2">
      <c r="A181" t="s">
        <v>133</v>
      </c>
      <c r="B181" s="5">
        <v>45219</v>
      </c>
      <c r="C181" s="3">
        <v>21.479166666666668</v>
      </c>
      <c r="D181" s="5">
        <v>45219</v>
      </c>
      <c r="E181" s="3">
        <v>21.520833333333336</v>
      </c>
      <c r="F181" t="b">
        <v>0</v>
      </c>
      <c r="G181" s="4" t="s">
        <v>135</v>
      </c>
      <c r="H181" t="s">
        <v>134</v>
      </c>
      <c r="I181" t="b">
        <v>0</v>
      </c>
    </row>
    <row r="182" spans="1:9" ht="15" hidden="1" customHeight="1" x14ac:dyDescent="0.2">
      <c r="A182" t="s">
        <v>133</v>
      </c>
      <c r="B182" s="5">
        <v>45222</v>
      </c>
      <c r="C182" s="3">
        <v>28.395833333333332</v>
      </c>
      <c r="D182" s="5">
        <v>45222</v>
      </c>
      <c r="E182" s="3">
        <v>28.4375</v>
      </c>
      <c r="F182" t="b">
        <v>0</v>
      </c>
      <c r="G182" s="4" t="s">
        <v>135</v>
      </c>
      <c r="H182" t="s">
        <v>134</v>
      </c>
      <c r="I182" t="b">
        <v>0</v>
      </c>
    </row>
    <row r="183" spans="1:9" ht="15" hidden="1" customHeight="1" x14ac:dyDescent="0.2">
      <c r="A183" t="s">
        <v>133</v>
      </c>
      <c r="B183" s="5">
        <v>45224</v>
      </c>
      <c r="C183" s="3">
        <v>28.4375</v>
      </c>
      <c r="D183" s="5">
        <v>45224</v>
      </c>
      <c r="E183" s="3">
        <v>28.479166666666668</v>
      </c>
      <c r="F183" t="b">
        <v>0</v>
      </c>
      <c r="G183" s="4" t="s">
        <v>135</v>
      </c>
      <c r="H183" t="s">
        <v>134</v>
      </c>
      <c r="I183" t="b">
        <v>0</v>
      </c>
    </row>
    <row r="184" spans="1:9" ht="15" hidden="1" customHeight="1" x14ac:dyDescent="0.2">
      <c r="A184" t="s">
        <v>133</v>
      </c>
      <c r="B184" s="5">
        <v>45226</v>
      </c>
      <c r="C184" s="3">
        <v>28.479166666666668</v>
      </c>
      <c r="D184" s="5">
        <v>45226</v>
      </c>
      <c r="E184" s="3">
        <v>28.520833333333336</v>
      </c>
      <c r="F184" t="b">
        <v>0</v>
      </c>
      <c r="G184" s="4" t="s">
        <v>135</v>
      </c>
      <c r="H184" t="s">
        <v>134</v>
      </c>
      <c r="I184" t="b">
        <v>0</v>
      </c>
    </row>
    <row r="185" spans="1:9" ht="15" hidden="1" customHeight="1" x14ac:dyDescent="0.2">
      <c r="A185" t="s">
        <v>133</v>
      </c>
      <c r="B185" s="5">
        <v>45229</v>
      </c>
      <c r="C185" s="3">
        <v>35.395833333333329</v>
      </c>
      <c r="D185" s="5">
        <v>45229</v>
      </c>
      <c r="E185" s="3">
        <v>35.437499999999993</v>
      </c>
      <c r="F185" t="b">
        <v>0</v>
      </c>
      <c r="G185" s="4" t="s">
        <v>135</v>
      </c>
      <c r="H185" t="s">
        <v>134</v>
      </c>
      <c r="I185" t="b">
        <v>0</v>
      </c>
    </row>
    <row r="186" spans="1:9" ht="15" hidden="1" customHeight="1" x14ac:dyDescent="0.2">
      <c r="A186" t="s">
        <v>133</v>
      </c>
      <c r="B186" s="5">
        <v>45231</v>
      </c>
      <c r="C186" s="3">
        <v>35.4375</v>
      </c>
      <c r="D186" s="5">
        <v>45231</v>
      </c>
      <c r="E186" s="3">
        <v>35.479166666666664</v>
      </c>
      <c r="F186" t="b">
        <v>0</v>
      </c>
      <c r="G186" s="4" t="s">
        <v>135</v>
      </c>
      <c r="H186" t="s">
        <v>134</v>
      </c>
      <c r="I186" t="b">
        <v>0</v>
      </c>
    </row>
    <row r="187" spans="1:9" ht="15" hidden="1" customHeight="1" x14ac:dyDescent="0.2">
      <c r="A187" t="s">
        <v>133</v>
      </c>
      <c r="B187" s="5">
        <v>45233</v>
      </c>
      <c r="C187" s="3">
        <v>35.479166666666671</v>
      </c>
      <c r="D187" s="5">
        <v>45233</v>
      </c>
      <c r="E187" s="3">
        <v>35.520833333333336</v>
      </c>
      <c r="F187" t="b">
        <v>0</v>
      </c>
      <c r="G187" s="4" t="s">
        <v>135</v>
      </c>
      <c r="H187" t="s">
        <v>134</v>
      </c>
      <c r="I187" t="b">
        <v>0</v>
      </c>
    </row>
    <row r="188" spans="1:9" ht="15" hidden="1" customHeight="1" x14ac:dyDescent="0.2">
      <c r="A188" t="s">
        <v>133</v>
      </c>
      <c r="B188" s="5">
        <v>45236</v>
      </c>
      <c r="C188" s="3">
        <v>42.395833333333329</v>
      </c>
      <c r="D188" s="5">
        <v>45236</v>
      </c>
      <c r="E188" s="3">
        <v>42.437499999999993</v>
      </c>
      <c r="F188" t="b">
        <v>0</v>
      </c>
      <c r="G188" s="4" t="s">
        <v>135</v>
      </c>
      <c r="H188" t="s">
        <v>134</v>
      </c>
      <c r="I188" t="b">
        <v>0</v>
      </c>
    </row>
    <row r="189" spans="1:9" ht="15" hidden="1" customHeight="1" x14ac:dyDescent="0.2">
      <c r="A189" t="s">
        <v>133</v>
      </c>
      <c r="B189" s="5">
        <v>45238</v>
      </c>
      <c r="C189" s="3">
        <v>42.4375</v>
      </c>
      <c r="D189" s="5">
        <v>45238</v>
      </c>
      <c r="E189" s="3">
        <v>42.479166666666664</v>
      </c>
      <c r="F189" t="b">
        <v>0</v>
      </c>
      <c r="G189" s="4" t="s">
        <v>135</v>
      </c>
      <c r="H189" t="s">
        <v>134</v>
      </c>
      <c r="I189" t="b">
        <v>0</v>
      </c>
    </row>
    <row r="190" spans="1:9" ht="15" hidden="1" customHeight="1" x14ac:dyDescent="0.2">
      <c r="A190" t="s">
        <v>133</v>
      </c>
      <c r="B190" s="5">
        <v>45240</v>
      </c>
      <c r="C190" s="3">
        <v>42.479166666666671</v>
      </c>
      <c r="D190" s="5">
        <v>45240</v>
      </c>
      <c r="E190" s="3">
        <v>42.520833333333336</v>
      </c>
      <c r="F190" t="b">
        <v>0</v>
      </c>
      <c r="G190" s="4" t="s">
        <v>135</v>
      </c>
      <c r="H190" t="s">
        <v>134</v>
      </c>
      <c r="I190" t="b">
        <v>0</v>
      </c>
    </row>
    <row r="191" spans="1:9" ht="15" hidden="1" customHeight="1" x14ac:dyDescent="0.2">
      <c r="A191" t="s">
        <v>131</v>
      </c>
      <c r="B191" s="5">
        <v>45194</v>
      </c>
      <c r="C191" s="3">
        <v>0.35416666666666669</v>
      </c>
      <c r="D191" s="5">
        <v>45194</v>
      </c>
      <c r="E191" s="3">
        <v>0.39583333333333337</v>
      </c>
      <c r="F191" t="b">
        <v>0</v>
      </c>
      <c r="G191" s="4" t="s">
        <v>57</v>
      </c>
      <c r="H191" t="s">
        <v>132</v>
      </c>
      <c r="I191" t="b">
        <v>0</v>
      </c>
    </row>
    <row r="192" spans="1:9" ht="15" hidden="1" customHeight="1" x14ac:dyDescent="0.2">
      <c r="A192" t="s">
        <v>136</v>
      </c>
      <c r="B192" s="5">
        <v>45196</v>
      </c>
      <c r="C192" s="3">
        <v>0.47916666666666669</v>
      </c>
      <c r="D192" s="5">
        <v>45196</v>
      </c>
      <c r="E192" s="3">
        <v>0.52083333333333337</v>
      </c>
      <c r="F192" t="b">
        <v>0</v>
      </c>
      <c r="G192" s="4" t="s">
        <v>137</v>
      </c>
      <c r="H192" t="s">
        <v>118</v>
      </c>
      <c r="I192" t="b">
        <v>0</v>
      </c>
    </row>
    <row r="193" spans="1:9" ht="15" hidden="1" customHeight="1" x14ac:dyDescent="0.2">
      <c r="A193" t="s">
        <v>136</v>
      </c>
      <c r="B193" s="5">
        <v>45198</v>
      </c>
      <c r="C193" s="3">
        <v>0.35416666666666669</v>
      </c>
      <c r="D193" s="5">
        <v>45198</v>
      </c>
      <c r="E193" s="3">
        <v>0.39583333333333337</v>
      </c>
      <c r="F193" t="b">
        <v>0</v>
      </c>
      <c r="G193" s="4" t="s">
        <v>137</v>
      </c>
      <c r="H193" t="s">
        <v>118</v>
      </c>
      <c r="I193" t="b">
        <v>0</v>
      </c>
    </row>
    <row r="194" spans="1:9" ht="15" hidden="1" customHeight="1" x14ac:dyDescent="0.2">
      <c r="A194" t="s">
        <v>136</v>
      </c>
      <c r="B194" s="5">
        <v>45201</v>
      </c>
      <c r="C194" s="3">
        <v>0.4375</v>
      </c>
      <c r="D194" s="5">
        <v>45201</v>
      </c>
      <c r="E194" s="3">
        <v>0.47916666666666669</v>
      </c>
      <c r="F194" t="b">
        <v>0</v>
      </c>
      <c r="G194" s="4" t="s">
        <v>137</v>
      </c>
      <c r="H194" t="s">
        <v>118</v>
      </c>
      <c r="I194" t="b">
        <v>0</v>
      </c>
    </row>
    <row r="195" spans="1:9" ht="15" hidden="1" customHeight="1" x14ac:dyDescent="0.2">
      <c r="A195" t="s">
        <v>136</v>
      </c>
      <c r="B195" s="5">
        <v>45203</v>
      </c>
      <c r="C195" s="3">
        <v>0.47916666666666669</v>
      </c>
      <c r="D195" s="5">
        <v>45203</v>
      </c>
      <c r="E195" s="3">
        <v>0.52083333333333337</v>
      </c>
      <c r="F195" t="b">
        <v>0</v>
      </c>
      <c r="G195" s="4" t="s">
        <v>137</v>
      </c>
      <c r="H195" t="s">
        <v>118</v>
      </c>
      <c r="I195" t="b">
        <v>0</v>
      </c>
    </row>
    <row r="196" spans="1:9" ht="15" hidden="1" customHeight="1" x14ac:dyDescent="0.2">
      <c r="A196" t="s">
        <v>136</v>
      </c>
      <c r="B196" s="5">
        <v>45205</v>
      </c>
      <c r="C196" s="3">
        <v>0.35416666666666669</v>
      </c>
      <c r="D196" s="5">
        <v>45205</v>
      </c>
      <c r="E196" s="3">
        <v>0.39583333333333337</v>
      </c>
      <c r="F196" t="b">
        <v>0</v>
      </c>
      <c r="G196" s="4" t="s">
        <v>137</v>
      </c>
      <c r="H196" t="s">
        <v>118</v>
      </c>
      <c r="I196" t="b">
        <v>0</v>
      </c>
    </row>
    <row r="197" spans="1:9" ht="15" hidden="1" customHeight="1" x14ac:dyDescent="0.2">
      <c r="A197" t="s">
        <v>136</v>
      </c>
      <c r="B197" s="5">
        <v>45208</v>
      </c>
      <c r="C197" s="3">
        <v>0.4375</v>
      </c>
      <c r="D197" s="5">
        <v>45208</v>
      </c>
      <c r="E197" s="3">
        <v>0.47916666666666669</v>
      </c>
      <c r="F197" t="b">
        <v>0</v>
      </c>
      <c r="G197" s="4" t="s">
        <v>137</v>
      </c>
      <c r="H197" t="s">
        <v>118</v>
      </c>
      <c r="I197" t="b">
        <v>0</v>
      </c>
    </row>
    <row r="198" spans="1:9" ht="15" hidden="1" customHeight="1" x14ac:dyDescent="0.2">
      <c r="A198" t="s">
        <v>136</v>
      </c>
      <c r="B198" s="5">
        <v>45210</v>
      </c>
      <c r="C198" s="3">
        <v>0.47916666666666669</v>
      </c>
      <c r="D198" s="5">
        <v>45210</v>
      </c>
      <c r="E198" s="3">
        <v>0.52083333333333337</v>
      </c>
      <c r="F198" t="b">
        <v>0</v>
      </c>
      <c r="G198" s="4" t="s">
        <v>137</v>
      </c>
      <c r="H198" t="s">
        <v>118</v>
      </c>
      <c r="I198" t="b">
        <v>0</v>
      </c>
    </row>
    <row r="199" spans="1:9" ht="15" hidden="1" customHeight="1" x14ac:dyDescent="0.2">
      <c r="A199" t="s">
        <v>136</v>
      </c>
      <c r="B199" s="5">
        <v>45212</v>
      </c>
      <c r="C199" s="3">
        <v>0.35416666666666669</v>
      </c>
      <c r="D199" s="5">
        <v>45212</v>
      </c>
      <c r="E199" s="3">
        <v>0.39583333333333337</v>
      </c>
      <c r="F199" t="b">
        <v>0</v>
      </c>
      <c r="G199" s="4" t="s">
        <v>137</v>
      </c>
      <c r="H199" t="s">
        <v>118</v>
      </c>
      <c r="I199" t="b">
        <v>0</v>
      </c>
    </row>
    <row r="200" spans="1:9" ht="15" hidden="1" customHeight="1" x14ac:dyDescent="0.2">
      <c r="A200" t="s">
        <v>136</v>
      </c>
      <c r="B200" s="5">
        <v>45215</v>
      </c>
      <c r="C200" s="3">
        <v>0.4375</v>
      </c>
      <c r="D200" s="5">
        <v>45215</v>
      </c>
      <c r="E200" s="3">
        <v>0.47916666666666669</v>
      </c>
      <c r="F200" t="b">
        <v>0</v>
      </c>
      <c r="G200" s="4" t="s">
        <v>137</v>
      </c>
      <c r="H200" t="s">
        <v>118</v>
      </c>
      <c r="I200" t="b">
        <v>0</v>
      </c>
    </row>
    <row r="201" spans="1:9" ht="15" hidden="1" customHeight="1" x14ac:dyDescent="0.2">
      <c r="A201" t="s">
        <v>136</v>
      </c>
      <c r="B201" s="5">
        <v>45217</v>
      </c>
      <c r="C201" s="3">
        <v>0.47916666666666669</v>
      </c>
      <c r="D201" s="5">
        <v>45217</v>
      </c>
      <c r="E201" s="3">
        <v>0.52083333333333337</v>
      </c>
      <c r="F201" t="b">
        <v>0</v>
      </c>
      <c r="G201" s="4" t="s">
        <v>137</v>
      </c>
      <c r="H201" t="s">
        <v>118</v>
      </c>
      <c r="I201" t="b">
        <v>0</v>
      </c>
    </row>
    <row r="202" spans="1:9" ht="15" hidden="1" customHeight="1" x14ac:dyDescent="0.2">
      <c r="A202" t="s">
        <v>136</v>
      </c>
      <c r="B202" s="5">
        <v>45219</v>
      </c>
      <c r="C202" s="3">
        <v>0.35416666666666669</v>
      </c>
      <c r="D202" s="5">
        <v>45219</v>
      </c>
      <c r="E202" s="3">
        <v>0.39583333333333337</v>
      </c>
      <c r="F202" t="b">
        <v>0</v>
      </c>
      <c r="G202" s="4" t="s">
        <v>137</v>
      </c>
      <c r="H202" t="s">
        <v>118</v>
      </c>
      <c r="I202" t="b">
        <v>0</v>
      </c>
    </row>
    <row r="203" spans="1:9" ht="15" hidden="1" customHeight="1" x14ac:dyDescent="0.2">
      <c r="A203" t="s">
        <v>136</v>
      </c>
      <c r="B203" s="5">
        <v>45222</v>
      </c>
      <c r="C203" s="3">
        <v>0.4375</v>
      </c>
      <c r="D203" s="5">
        <v>45222</v>
      </c>
      <c r="E203" s="3">
        <v>0.47916666666666669</v>
      </c>
      <c r="F203" t="b">
        <v>0</v>
      </c>
      <c r="G203" s="4" t="s">
        <v>137</v>
      </c>
      <c r="H203" t="s">
        <v>118</v>
      </c>
      <c r="I203" t="b">
        <v>0</v>
      </c>
    </row>
    <row r="204" spans="1:9" ht="15" hidden="1" customHeight="1" x14ac:dyDescent="0.2">
      <c r="A204" t="s">
        <v>136</v>
      </c>
      <c r="B204" s="5">
        <v>45224</v>
      </c>
      <c r="C204" s="3">
        <v>0.47916666666666669</v>
      </c>
      <c r="D204" s="5">
        <v>45224</v>
      </c>
      <c r="E204" s="3">
        <v>0.52083333333333337</v>
      </c>
      <c r="F204" t="b">
        <v>0</v>
      </c>
      <c r="G204" s="4" t="s">
        <v>137</v>
      </c>
      <c r="H204" t="s">
        <v>118</v>
      </c>
      <c r="I204" t="b">
        <v>0</v>
      </c>
    </row>
    <row r="205" spans="1:9" ht="15" hidden="1" customHeight="1" x14ac:dyDescent="0.2">
      <c r="A205" t="s">
        <v>136</v>
      </c>
      <c r="B205" s="5">
        <v>45226</v>
      </c>
      <c r="C205" s="3">
        <v>0.35416666666666669</v>
      </c>
      <c r="D205" s="5">
        <v>45226</v>
      </c>
      <c r="E205" s="3">
        <v>0.39583333333333337</v>
      </c>
      <c r="F205" t="b">
        <v>0</v>
      </c>
      <c r="G205" s="4" t="s">
        <v>137</v>
      </c>
      <c r="H205" t="s">
        <v>118</v>
      </c>
      <c r="I205" t="b">
        <v>0</v>
      </c>
    </row>
    <row r="206" spans="1:9" ht="15" hidden="1" customHeight="1" x14ac:dyDescent="0.2">
      <c r="A206" t="s">
        <v>136</v>
      </c>
      <c r="B206" s="5">
        <v>45229</v>
      </c>
      <c r="C206" s="3">
        <v>0.4375</v>
      </c>
      <c r="D206" s="5">
        <v>45229</v>
      </c>
      <c r="E206" s="3">
        <v>0.47916666666666669</v>
      </c>
      <c r="F206" t="b">
        <v>0</v>
      </c>
      <c r="G206" s="4" t="s">
        <v>137</v>
      </c>
      <c r="H206" t="s">
        <v>118</v>
      </c>
      <c r="I206" t="b">
        <v>0</v>
      </c>
    </row>
    <row r="207" spans="1:9" ht="15" hidden="1" customHeight="1" x14ac:dyDescent="0.2">
      <c r="A207" t="s">
        <v>136</v>
      </c>
      <c r="B207" s="5">
        <v>45231</v>
      </c>
      <c r="C207" s="3">
        <v>0.47916666666666669</v>
      </c>
      <c r="D207" s="5">
        <v>45231</v>
      </c>
      <c r="E207" s="3">
        <v>0.52083333333333337</v>
      </c>
      <c r="F207" t="b">
        <v>0</v>
      </c>
      <c r="G207" s="4" t="s">
        <v>137</v>
      </c>
      <c r="H207" t="s">
        <v>118</v>
      </c>
      <c r="I207" t="b">
        <v>0</v>
      </c>
    </row>
    <row r="208" spans="1:9" ht="15" hidden="1" customHeight="1" x14ac:dyDescent="0.2">
      <c r="A208" t="s">
        <v>136</v>
      </c>
      <c r="B208" s="5">
        <v>45233</v>
      </c>
      <c r="C208" s="3">
        <v>0.35416666666666669</v>
      </c>
      <c r="D208" s="5">
        <v>45233</v>
      </c>
      <c r="E208" s="3">
        <v>0.39583333333333337</v>
      </c>
      <c r="F208" t="b">
        <v>0</v>
      </c>
      <c r="G208" s="4" t="s">
        <v>137</v>
      </c>
      <c r="H208" t="s">
        <v>118</v>
      </c>
      <c r="I208" t="b">
        <v>0</v>
      </c>
    </row>
    <row r="209" spans="1:9" ht="15" hidden="1" customHeight="1" x14ac:dyDescent="0.2">
      <c r="A209" t="s">
        <v>136</v>
      </c>
      <c r="B209" s="5">
        <v>45236</v>
      </c>
      <c r="C209" s="3">
        <v>0.4375</v>
      </c>
      <c r="D209" s="5">
        <v>45236</v>
      </c>
      <c r="E209" s="3">
        <v>0.47916666666666669</v>
      </c>
      <c r="F209" t="b">
        <v>0</v>
      </c>
      <c r="G209" s="4" t="s">
        <v>137</v>
      </c>
      <c r="H209" t="s">
        <v>118</v>
      </c>
      <c r="I209" t="b">
        <v>0</v>
      </c>
    </row>
    <row r="210" spans="1:9" ht="15" hidden="1" customHeight="1" x14ac:dyDescent="0.2">
      <c r="A210" t="s">
        <v>136</v>
      </c>
      <c r="B210" s="5">
        <v>45238</v>
      </c>
      <c r="C210" s="3">
        <v>0.47916666666666669</v>
      </c>
      <c r="D210" s="5">
        <v>45238</v>
      </c>
      <c r="E210" s="3">
        <v>0.52083333333333337</v>
      </c>
      <c r="F210" t="b">
        <v>0</v>
      </c>
      <c r="G210" s="4" t="s">
        <v>137</v>
      </c>
      <c r="H210" t="s">
        <v>118</v>
      </c>
      <c r="I210" t="b">
        <v>0</v>
      </c>
    </row>
    <row r="211" spans="1:9" ht="15" hidden="1" customHeight="1" x14ac:dyDescent="0.2">
      <c r="A211" t="s">
        <v>136</v>
      </c>
      <c r="B211" s="5">
        <v>45240</v>
      </c>
      <c r="C211" s="3">
        <v>0.35416666666666669</v>
      </c>
      <c r="D211" s="5">
        <v>45240</v>
      </c>
      <c r="E211" s="3">
        <v>0.39583333333333337</v>
      </c>
      <c r="F211" t="b">
        <v>0</v>
      </c>
      <c r="G211" s="4" t="s">
        <v>137</v>
      </c>
      <c r="H211" t="s">
        <v>118</v>
      </c>
      <c r="I211" t="b">
        <v>0</v>
      </c>
    </row>
    <row r="212" spans="1:9" ht="15" hidden="1" customHeight="1" x14ac:dyDescent="0.2">
      <c r="A212" t="s">
        <v>202</v>
      </c>
      <c r="B212" s="5">
        <v>45194</v>
      </c>
      <c r="C212" s="3">
        <v>0.35416666666666669</v>
      </c>
      <c r="D212" s="5">
        <v>45194</v>
      </c>
      <c r="E212" s="3">
        <v>0.39583333333333337</v>
      </c>
      <c r="F212" t="b">
        <v>0</v>
      </c>
      <c r="G212" s="4" t="s">
        <v>203</v>
      </c>
      <c r="H212" t="s">
        <v>243</v>
      </c>
      <c r="I212" t="b">
        <v>0</v>
      </c>
    </row>
    <row r="213" spans="1:9" ht="15" hidden="1" customHeight="1" x14ac:dyDescent="0.2">
      <c r="A213" t="s">
        <v>142</v>
      </c>
      <c r="B213" s="5">
        <v>45201</v>
      </c>
      <c r="C213" s="3">
        <v>0.58333333333333337</v>
      </c>
      <c r="D213" s="5">
        <v>45201</v>
      </c>
      <c r="E213" s="3">
        <v>0.625</v>
      </c>
      <c r="F213" t="b">
        <v>0</v>
      </c>
      <c r="G213" s="4" t="s">
        <v>143</v>
      </c>
      <c r="I213" t="b">
        <v>0</v>
      </c>
    </row>
    <row r="214" spans="1:9" ht="15" hidden="1" customHeight="1" x14ac:dyDescent="0.2">
      <c r="A214" t="s">
        <v>142</v>
      </c>
      <c r="B214" s="5">
        <v>45208</v>
      </c>
      <c r="C214" s="3">
        <v>0.58333333333333337</v>
      </c>
      <c r="D214" s="5">
        <v>45208</v>
      </c>
      <c r="E214" s="3">
        <v>0.625</v>
      </c>
      <c r="F214" t="b">
        <v>0</v>
      </c>
      <c r="G214" s="4" t="s">
        <v>143</v>
      </c>
      <c r="I214" t="b">
        <v>0</v>
      </c>
    </row>
    <row r="215" spans="1:9" ht="15" hidden="1" customHeight="1" x14ac:dyDescent="0.2">
      <c r="A215" t="s">
        <v>142</v>
      </c>
      <c r="B215" s="5">
        <v>45215</v>
      </c>
      <c r="C215" s="3">
        <v>0.58333333333333337</v>
      </c>
      <c r="D215" s="5">
        <v>45215</v>
      </c>
      <c r="E215" s="3">
        <v>0.625</v>
      </c>
      <c r="F215" t="b">
        <v>0</v>
      </c>
      <c r="G215" s="4" t="s">
        <v>143</v>
      </c>
      <c r="I215" t="b">
        <v>0</v>
      </c>
    </row>
    <row r="216" spans="1:9" ht="15" hidden="1" customHeight="1" x14ac:dyDescent="0.2">
      <c r="A216" t="s">
        <v>142</v>
      </c>
      <c r="B216" s="5">
        <v>45222</v>
      </c>
      <c r="C216" s="3">
        <v>0.58333333333333337</v>
      </c>
      <c r="D216" s="5">
        <v>45222</v>
      </c>
      <c r="E216" s="3">
        <v>0.625</v>
      </c>
      <c r="F216" t="b">
        <v>0</v>
      </c>
      <c r="G216" s="4" t="s">
        <v>143</v>
      </c>
      <c r="I216" t="b">
        <v>0</v>
      </c>
    </row>
    <row r="217" spans="1:9" ht="15" hidden="1" customHeight="1" x14ac:dyDescent="0.2">
      <c r="A217" t="s">
        <v>142</v>
      </c>
      <c r="B217" s="5">
        <v>45229</v>
      </c>
      <c r="C217" s="3">
        <v>0.58333333333333337</v>
      </c>
      <c r="D217" s="5">
        <v>45229</v>
      </c>
      <c r="E217" s="3">
        <v>0.625</v>
      </c>
      <c r="F217" t="b">
        <v>0</v>
      </c>
      <c r="G217" s="4" t="s">
        <v>143</v>
      </c>
      <c r="I217" t="b">
        <v>0</v>
      </c>
    </row>
    <row r="218" spans="1:9" ht="15" hidden="1" customHeight="1" x14ac:dyDescent="0.2">
      <c r="A218" t="s">
        <v>142</v>
      </c>
      <c r="B218" s="5">
        <v>45236</v>
      </c>
      <c r="C218" s="3">
        <v>0.58333333333333337</v>
      </c>
      <c r="D218" s="5">
        <v>45236</v>
      </c>
      <c r="E218" s="3">
        <v>0.625</v>
      </c>
      <c r="F218" t="b">
        <v>0</v>
      </c>
      <c r="G218" s="4" t="s">
        <v>143</v>
      </c>
      <c r="I218" t="b">
        <v>0</v>
      </c>
    </row>
    <row r="219" spans="1:9" ht="15" hidden="1" customHeight="1" x14ac:dyDescent="0.2">
      <c r="A219" t="s">
        <v>214</v>
      </c>
      <c r="B219" s="5">
        <v>45194</v>
      </c>
      <c r="C219" s="3">
        <v>0.35416666666666669</v>
      </c>
      <c r="D219" s="5">
        <v>45194</v>
      </c>
      <c r="E219" s="3">
        <v>0.47916666666666669</v>
      </c>
      <c r="F219" t="b">
        <v>0</v>
      </c>
      <c r="G219" s="4" t="s">
        <v>215</v>
      </c>
      <c r="I219" t="b">
        <v>0</v>
      </c>
    </row>
    <row r="220" spans="1:9" ht="15" hidden="1" customHeight="1" x14ac:dyDescent="0.2">
      <c r="A220" t="s">
        <v>133</v>
      </c>
      <c r="B220" s="5">
        <v>45194</v>
      </c>
      <c r="C220" s="3">
        <v>0.39583333333333331</v>
      </c>
      <c r="D220" s="5">
        <v>45194</v>
      </c>
      <c r="E220" s="3">
        <v>0.4375</v>
      </c>
      <c r="F220" t="b">
        <v>0</v>
      </c>
      <c r="G220" s="4" t="s">
        <v>135</v>
      </c>
      <c r="H220" t="s">
        <v>134</v>
      </c>
      <c r="I220" t="b">
        <v>0</v>
      </c>
    </row>
    <row r="221" spans="1:9" ht="15" hidden="1" customHeight="1" x14ac:dyDescent="0.2">
      <c r="A221" t="s">
        <v>222</v>
      </c>
      <c r="B221" s="5">
        <v>45195</v>
      </c>
      <c r="C221" s="3">
        <v>0.47916666666666669</v>
      </c>
      <c r="D221" s="5">
        <v>45195</v>
      </c>
      <c r="E221" s="3">
        <v>0.52083333333333337</v>
      </c>
      <c r="F221" t="b">
        <v>0</v>
      </c>
      <c r="G221" s="4" t="s">
        <v>223</v>
      </c>
      <c r="H221" t="s">
        <v>127</v>
      </c>
      <c r="I221" t="b">
        <v>0</v>
      </c>
    </row>
    <row r="222" spans="1:9" ht="15" hidden="1" customHeight="1" x14ac:dyDescent="0.2">
      <c r="A222" t="s">
        <v>222</v>
      </c>
      <c r="B222" s="5">
        <v>45195</v>
      </c>
      <c r="C222" s="3">
        <v>0.47916666666666669</v>
      </c>
      <c r="D222" s="5">
        <v>45195</v>
      </c>
      <c r="E222" s="3">
        <v>0.52083333333333337</v>
      </c>
      <c r="F222" t="b">
        <v>0</v>
      </c>
      <c r="G222" s="4" t="s">
        <v>223</v>
      </c>
      <c r="H222" t="s">
        <v>224</v>
      </c>
      <c r="I222" t="b">
        <v>0</v>
      </c>
    </row>
    <row r="223" spans="1:9" ht="15" hidden="1" customHeight="1" x14ac:dyDescent="0.2">
      <c r="A223" t="s">
        <v>222</v>
      </c>
      <c r="B223" s="5">
        <v>45195</v>
      </c>
      <c r="C223" s="3">
        <v>0.58333333333333337</v>
      </c>
      <c r="D223" s="5">
        <v>45195</v>
      </c>
      <c r="E223" s="3">
        <v>0.66666666666666663</v>
      </c>
      <c r="F223" t="b">
        <v>0</v>
      </c>
      <c r="G223" s="4" t="s">
        <v>223</v>
      </c>
      <c r="I223" t="b">
        <v>0</v>
      </c>
    </row>
    <row r="224" spans="1:9" ht="15" hidden="1" customHeight="1" x14ac:dyDescent="0.2">
      <c r="A224" t="s">
        <v>222</v>
      </c>
      <c r="B224" s="5">
        <v>45195</v>
      </c>
      <c r="C224" s="3">
        <v>0.6875</v>
      </c>
      <c r="D224" s="5">
        <v>45195</v>
      </c>
      <c r="E224" s="3">
        <v>0.77083333333333337</v>
      </c>
      <c r="F224" t="b">
        <v>0</v>
      </c>
      <c r="G224" s="4" t="s">
        <v>223</v>
      </c>
      <c r="I224" t="b">
        <v>0</v>
      </c>
    </row>
    <row r="225" spans="1:9" ht="15" hidden="1" customHeight="1" x14ac:dyDescent="0.2">
      <c r="A225" t="s">
        <v>222</v>
      </c>
      <c r="B225" s="5">
        <v>45196</v>
      </c>
      <c r="C225" s="3">
        <v>0.47916666666666669</v>
      </c>
      <c r="D225" s="5">
        <v>45196</v>
      </c>
      <c r="E225" s="3">
        <v>0.52083333333333337</v>
      </c>
      <c r="F225" t="b">
        <v>0</v>
      </c>
      <c r="G225" s="4" t="s">
        <v>223</v>
      </c>
      <c r="H225" t="s">
        <v>127</v>
      </c>
      <c r="I225" t="b">
        <v>0</v>
      </c>
    </row>
    <row r="226" spans="1:9" ht="15" hidden="1" customHeight="1" x14ac:dyDescent="0.2">
      <c r="A226" t="s">
        <v>222</v>
      </c>
      <c r="B226" s="5">
        <v>45196</v>
      </c>
      <c r="C226" s="3">
        <v>0.47916666666666669</v>
      </c>
      <c r="D226" s="5">
        <v>45196</v>
      </c>
      <c r="E226" s="3">
        <v>0.52083333333333337</v>
      </c>
      <c r="F226" t="b">
        <v>0</v>
      </c>
      <c r="G226" s="4" t="s">
        <v>223</v>
      </c>
      <c r="H226" t="s">
        <v>224</v>
      </c>
      <c r="I226" t="b">
        <v>0</v>
      </c>
    </row>
    <row r="227" spans="1:9" ht="15" hidden="1" customHeight="1" x14ac:dyDescent="0.2">
      <c r="A227" t="s">
        <v>222</v>
      </c>
      <c r="B227" s="5">
        <v>45197</v>
      </c>
      <c r="C227" s="3">
        <v>0.58333333333333337</v>
      </c>
      <c r="D227" s="5">
        <v>45197</v>
      </c>
      <c r="E227" s="3">
        <v>0.66666666666666663</v>
      </c>
      <c r="F227" t="b">
        <v>0</v>
      </c>
      <c r="G227" s="4" t="s">
        <v>223</v>
      </c>
      <c r="I227" t="b">
        <v>0</v>
      </c>
    </row>
    <row r="228" spans="1:9" ht="15" hidden="1" customHeight="1" x14ac:dyDescent="0.2">
      <c r="A228" t="s">
        <v>222</v>
      </c>
      <c r="B228" s="5">
        <v>45197</v>
      </c>
      <c r="C228" s="3">
        <v>0.6875</v>
      </c>
      <c r="D228" s="5">
        <v>45197</v>
      </c>
      <c r="E228" s="3">
        <v>0.77083333333333337</v>
      </c>
      <c r="F228" t="b">
        <v>0</v>
      </c>
      <c r="G228" s="4" t="s">
        <v>223</v>
      </c>
      <c r="I228" t="b">
        <v>0</v>
      </c>
    </row>
    <row r="229" spans="1:9" ht="15" hidden="1" customHeight="1" x14ac:dyDescent="0.2">
      <c r="A229" t="s">
        <v>222</v>
      </c>
      <c r="B229" s="5">
        <v>45201</v>
      </c>
      <c r="C229" s="3">
        <v>0.47916666666666669</v>
      </c>
      <c r="D229" s="5">
        <v>45201</v>
      </c>
      <c r="E229" s="3">
        <v>0.52083333333333337</v>
      </c>
      <c r="F229" t="b">
        <v>0</v>
      </c>
      <c r="G229" s="4" t="s">
        <v>223</v>
      </c>
      <c r="H229" t="s">
        <v>127</v>
      </c>
      <c r="I229" t="b">
        <v>0</v>
      </c>
    </row>
    <row r="230" spans="1:9" ht="15" hidden="1" customHeight="1" x14ac:dyDescent="0.2">
      <c r="A230" t="s">
        <v>222</v>
      </c>
      <c r="B230" s="5">
        <v>45201</v>
      </c>
      <c r="C230" s="3">
        <v>0.47916666666666669</v>
      </c>
      <c r="D230" s="5">
        <v>45201</v>
      </c>
      <c r="E230" s="3">
        <v>0.52083333333333337</v>
      </c>
      <c r="F230" t="b">
        <v>0</v>
      </c>
      <c r="G230" s="4" t="s">
        <v>223</v>
      </c>
      <c r="H230" t="s">
        <v>224</v>
      </c>
      <c r="I230" t="b">
        <v>0</v>
      </c>
    </row>
    <row r="231" spans="1:9" ht="15" hidden="1" customHeight="1" x14ac:dyDescent="0.2">
      <c r="A231" t="s">
        <v>222</v>
      </c>
      <c r="B231" s="5">
        <v>45202</v>
      </c>
      <c r="C231" s="3">
        <v>0.47916666666666669</v>
      </c>
      <c r="D231" s="5">
        <v>45202</v>
      </c>
      <c r="E231" s="3">
        <v>0.52083333333333337</v>
      </c>
      <c r="F231" t="b">
        <v>0</v>
      </c>
      <c r="G231" s="4" t="s">
        <v>223</v>
      </c>
      <c r="H231" t="s">
        <v>127</v>
      </c>
      <c r="I231" t="b">
        <v>0</v>
      </c>
    </row>
    <row r="232" spans="1:9" ht="15" hidden="1" customHeight="1" x14ac:dyDescent="0.2">
      <c r="A232" t="s">
        <v>222</v>
      </c>
      <c r="B232" s="5">
        <v>45202</v>
      </c>
      <c r="C232" s="3">
        <v>0.47916666666666669</v>
      </c>
      <c r="D232" s="5">
        <v>45202</v>
      </c>
      <c r="E232" s="3">
        <v>0.52083333333333337</v>
      </c>
      <c r="F232" t="b">
        <v>0</v>
      </c>
      <c r="G232" s="4" t="s">
        <v>223</v>
      </c>
      <c r="H232" t="s">
        <v>224</v>
      </c>
      <c r="I232" t="b">
        <v>0</v>
      </c>
    </row>
    <row r="233" spans="1:9" ht="15" hidden="1" customHeight="1" x14ac:dyDescent="0.2">
      <c r="A233" t="s">
        <v>222</v>
      </c>
      <c r="B233" s="5">
        <v>45202</v>
      </c>
      <c r="C233" s="3">
        <v>0.58333333333333337</v>
      </c>
      <c r="D233" s="5">
        <v>45202</v>
      </c>
      <c r="E233" s="3">
        <v>0.66666666666666663</v>
      </c>
      <c r="F233" t="b">
        <v>0</v>
      </c>
      <c r="G233" s="4" t="s">
        <v>223</v>
      </c>
      <c r="I233" t="b">
        <v>0</v>
      </c>
    </row>
    <row r="234" spans="1:9" ht="15" hidden="1" customHeight="1" x14ac:dyDescent="0.2">
      <c r="A234" t="s">
        <v>222</v>
      </c>
      <c r="B234" s="5">
        <v>45202</v>
      </c>
      <c r="C234" s="3">
        <v>0.6875</v>
      </c>
      <c r="D234" s="5">
        <v>45202</v>
      </c>
      <c r="E234" s="3">
        <v>0.77083333333333337</v>
      </c>
      <c r="F234" t="b">
        <v>0</v>
      </c>
      <c r="G234" s="4" t="s">
        <v>223</v>
      </c>
      <c r="I234" t="b">
        <v>0</v>
      </c>
    </row>
    <row r="235" spans="1:9" ht="15" hidden="1" customHeight="1" x14ac:dyDescent="0.2">
      <c r="A235" t="s">
        <v>222</v>
      </c>
      <c r="B235" s="5">
        <v>45203</v>
      </c>
      <c r="C235" s="3">
        <v>0.47916666666666669</v>
      </c>
      <c r="D235" s="5">
        <v>45203</v>
      </c>
      <c r="E235" s="3">
        <v>0.52083333333333337</v>
      </c>
      <c r="F235" t="b">
        <v>0</v>
      </c>
      <c r="G235" s="4" t="s">
        <v>223</v>
      </c>
      <c r="H235" t="s">
        <v>127</v>
      </c>
      <c r="I235" t="b">
        <v>0</v>
      </c>
    </row>
    <row r="236" spans="1:9" ht="15" hidden="1" customHeight="1" x14ac:dyDescent="0.2">
      <c r="A236" t="s">
        <v>222</v>
      </c>
      <c r="B236" s="5">
        <v>45203</v>
      </c>
      <c r="C236" s="3">
        <v>0.47916666666666669</v>
      </c>
      <c r="D236" s="5">
        <v>45203</v>
      </c>
      <c r="E236" s="3">
        <v>0.52083333333333337</v>
      </c>
      <c r="F236" t="b">
        <v>0</v>
      </c>
      <c r="G236" s="4" t="s">
        <v>223</v>
      </c>
      <c r="H236" t="s">
        <v>224</v>
      </c>
      <c r="I236" t="b">
        <v>0</v>
      </c>
    </row>
    <row r="237" spans="1:9" ht="15" hidden="1" customHeight="1" x14ac:dyDescent="0.2">
      <c r="A237" t="s">
        <v>222</v>
      </c>
      <c r="B237" s="5">
        <v>45204</v>
      </c>
      <c r="C237" s="3">
        <v>0.58333333333333337</v>
      </c>
      <c r="D237" s="5">
        <v>45204</v>
      </c>
      <c r="E237" s="3">
        <v>0.66666666666666663</v>
      </c>
      <c r="F237" t="b">
        <v>0</v>
      </c>
      <c r="G237" s="4" t="s">
        <v>223</v>
      </c>
      <c r="I237" t="b">
        <v>0</v>
      </c>
    </row>
    <row r="238" spans="1:9" ht="15" hidden="1" customHeight="1" x14ac:dyDescent="0.2">
      <c r="A238" t="s">
        <v>222</v>
      </c>
      <c r="B238" s="5">
        <v>45204</v>
      </c>
      <c r="C238" s="3">
        <v>0.6875</v>
      </c>
      <c r="D238" s="5">
        <v>45204</v>
      </c>
      <c r="E238" s="3">
        <v>0.77083333333333337</v>
      </c>
      <c r="F238" t="b">
        <v>0</v>
      </c>
      <c r="G238" s="4" t="s">
        <v>223</v>
      </c>
      <c r="I238" t="b">
        <v>0</v>
      </c>
    </row>
    <row r="239" spans="1:9" ht="15" hidden="1" customHeight="1" x14ac:dyDescent="0.2">
      <c r="A239" t="s">
        <v>222</v>
      </c>
      <c r="B239" s="5">
        <v>45208</v>
      </c>
      <c r="C239" s="3">
        <v>0.47916666666666669</v>
      </c>
      <c r="D239" s="5">
        <v>45208</v>
      </c>
      <c r="E239" s="3">
        <v>0.52083333333333337</v>
      </c>
      <c r="F239" t="b">
        <v>0</v>
      </c>
      <c r="G239" s="4" t="s">
        <v>223</v>
      </c>
      <c r="H239" t="s">
        <v>127</v>
      </c>
      <c r="I239" t="b">
        <v>0</v>
      </c>
    </row>
    <row r="240" spans="1:9" ht="15" hidden="1" customHeight="1" x14ac:dyDescent="0.2">
      <c r="A240" t="s">
        <v>222</v>
      </c>
      <c r="B240" s="5">
        <v>45208</v>
      </c>
      <c r="C240" s="3">
        <v>0.47916666666666669</v>
      </c>
      <c r="D240" s="5">
        <v>45208</v>
      </c>
      <c r="E240" s="3">
        <v>0.52083333333333337</v>
      </c>
      <c r="F240" t="b">
        <v>0</v>
      </c>
      <c r="G240" s="4" t="s">
        <v>223</v>
      </c>
      <c r="H240" t="s">
        <v>224</v>
      </c>
      <c r="I240" t="b">
        <v>0</v>
      </c>
    </row>
    <row r="241" spans="1:9" ht="15" hidden="1" customHeight="1" x14ac:dyDescent="0.2">
      <c r="A241" t="s">
        <v>222</v>
      </c>
      <c r="B241" s="5">
        <v>45209</v>
      </c>
      <c r="C241" s="3">
        <v>0.47916666666666669</v>
      </c>
      <c r="D241" s="5">
        <v>45209</v>
      </c>
      <c r="E241" s="3">
        <v>0.52083333333333337</v>
      </c>
      <c r="F241" t="b">
        <v>0</v>
      </c>
      <c r="G241" s="4" t="s">
        <v>223</v>
      </c>
      <c r="H241" t="s">
        <v>127</v>
      </c>
      <c r="I241" t="b">
        <v>0</v>
      </c>
    </row>
    <row r="242" spans="1:9" ht="15" hidden="1" customHeight="1" x14ac:dyDescent="0.2">
      <c r="A242" t="s">
        <v>222</v>
      </c>
      <c r="B242" s="5">
        <v>45209</v>
      </c>
      <c r="C242" s="3">
        <v>0.47916666666666669</v>
      </c>
      <c r="D242" s="5">
        <v>45209</v>
      </c>
      <c r="E242" s="3">
        <v>0.52083333333333337</v>
      </c>
      <c r="F242" t="b">
        <v>0</v>
      </c>
      <c r="G242" s="4" t="s">
        <v>223</v>
      </c>
      <c r="H242" t="s">
        <v>224</v>
      </c>
      <c r="I242" t="b">
        <v>0</v>
      </c>
    </row>
    <row r="243" spans="1:9" ht="15" hidden="1" customHeight="1" x14ac:dyDescent="0.2">
      <c r="A243" t="s">
        <v>222</v>
      </c>
      <c r="B243" s="5">
        <v>45209</v>
      </c>
      <c r="C243" s="3">
        <v>0.58333333333333337</v>
      </c>
      <c r="D243" s="5">
        <v>45209</v>
      </c>
      <c r="E243" s="3">
        <v>0.66666666666666663</v>
      </c>
      <c r="F243" t="b">
        <v>0</v>
      </c>
      <c r="G243" s="4" t="s">
        <v>223</v>
      </c>
      <c r="I243" t="b">
        <v>0</v>
      </c>
    </row>
    <row r="244" spans="1:9" ht="15" hidden="1" customHeight="1" x14ac:dyDescent="0.2">
      <c r="A244" t="s">
        <v>222</v>
      </c>
      <c r="B244" s="5">
        <v>45209</v>
      </c>
      <c r="C244" s="3">
        <v>0.6875</v>
      </c>
      <c r="D244" s="5">
        <v>45209</v>
      </c>
      <c r="E244" s="3">
        <v>0.77083333333333337</v>
      </c>
      <c r="F244" t="b">
        <v>0</v>
      </c>
      <c r="G244" s="4" t="s">
        <v>223</v>
      </c>
      <c r="I244" t="b">
        <v>0</v>
      </c>
    </row>
    <row r="245" spans="1:9" ht="15" hidden="1" customHeight="1" x14ac:dyDescent="0.2">
      <c r="A245" t="s">
        <v>222</v>
      </c>
      <c r="B245" s="5">
        <v>45210</v>
      </c>
      <c r="C245" s="3">
        <v>0.47916666666666669</v>
      </c>
      <c r="D245" s="5">
        <v>45210</v>
      </c>
      <c r="E245" s="3">
        <v>0.52083333333333337</v>
      </c>
      <c r="F245" t="b">
        <v>0</v>
      </c>
      <c r="G245" s="4" t="s">
        <v>223</v>
      </c>
      <c r="H245" t="s">
        <v>127</v>
      </c>
      <c r="I245" t="b">
        <v>0</v>
      </c>
    </row>
    <row r="246" spans="1:9" ht="15" hidden="1" customHeight="1" x14ac:dyDescent="0.2">
      <c r="A246" t="s">
        <v>222</v>
      </c>
      <c r="B246" s="5">
        <v>45210</v>
      </c>
      <c r="C246" s="3">
        <v>0.47916666666666669</v>
      </c>
      <c r="D246" s="5">
        <v>45210</v>
      </c>
      <c r="E246" s="3">
        <v>0.52083333333333337</v>
      </c>
      <c r="F246" t="b">
        <v>0</v>
      </c>
      <c r="G246" s="4" t="s">
        <v>223</v>
      </c>
      <c r="H246" t="s">
        <v>224</v>
      </c>
      <c r="I246" t="b">
        <v>0</v>
      </c>
    </row>
    <row r="247" spans="1:9" ht="15" hidden="1" customHeight="1" x14ac:dyDescent="0.2">
      <c r="A247" t="s">
        <v>222</v>
      </c>
      <c r="B247" s="5">
        <v>45211</v>
      </c>
      <c r="C247" s="3">
        <v>0.58333333333333337</v>
      </c>
      <c r="D247" s="5">
        <v>45211</v>
      </c>
      <c r="E247" s="3">
        <v>0.66666666666666663</v>
      </c>
      <c r="F247" t="b">
        <v>0</v>
      </c>
      <c r="G247" s="4" t="s">
        <v>223</v>
      </c>
      <c r="I247" t="b">
        <v>0</v>
      </c>
    </row>
    <row r="248" spans="1:9" ht="15" hidden="1" customHeight="1" x14ac:dyDescent="0.2">
      <c r="A248" t="s">
        <v>222</v>
      </c>
      <c r="B248" s="5">
        <v>45211</v>
      </c>
      <c r="C248" s="3">
        <v>0.6875</v>
      </c>
      <c r="D248" s="5">
        <v>45211</v>
      </c>
      <c r="E248" s="3">
        <v>0.77083333333333337</v>
      </c>
      <c r="F248" t="b">
        <v>0</v>
      </c>
      <c r="G248" s="4" t="s">
        <v>223</v>
      </c>
      <c r="I248" t="b">
        <v>0</v>
      </c>
    </row>
    <row r="249" spans="1:9" ht="15" hidden="1" customHeight="1" x14ac:dyDescent="0.2">
      <c r="A249" t="s">
        <v>222</v>
      </c>
      <c r="B249" s="5">
        <v>45215</v>
      </c>
      <c r="C249" s="3">
        <v>0.47916666666666669</v>
      </c>
      <c r="D249" s="5">
        <v>45215</v>
      </c>
      <c r="E249" s="3">
        <v>0.52083333333333337</v>
      </c>
      <c r="F249" t="b">
        <v>0</v>
      </c>
      <c r="G249" s="4" t="s">
        <v>223</v>
      </c>
      <c r="H249" t="s">
        <v>127</v>
      </c>
      <c r="I249" t="b">
        <v>0</v>
      </c>
    </row>
    <row r="250" spans="1:9" ht="15" hidden="1" customHeight="1" x14ac:dyDescent="0.2">
      <c r="A250" t="s">
        <v>222</v>
      </c>
      <c r="B250" s="5">
        <v>45215</v>
      </c>
      <c r="C250" s="3">
        <v>0.47916666666666669</v>
      </c>
      <c r="D250" s="5">
        <v>45215</v>
      </c>
      <c r="E250" s="3">
        <v>0.52083333333333337</v>
      </c>
      <c r="F250" t="b">
        <v>0</v>
      </c>
      <c r="G250" s="4" t="s">
        <v>223</v>
      </c>
      <c r="H250" t="s">
        <v>224</v>
      </c>
      <c r="I250" t="b">
        <v>0</v>
      </c>
    </row>
    <row r="251" spans="1:9" ht="15" hidden="1" customHeight="1" x14ac:dyDescent="0.2">
      <c r="A251" t="s">
        <v>222</v>
      </c>
      <c r="B251" s="5">
        <v>45216</v>
      </c>
      <c r="C251" s="3">
        <v>0.47916666666666669</v>
      </c>
      <c r="D251" s="5">
        <v>45216</v>
      </c>
      <c r="E251" s="3">
        <v>0.52083333333333337</v>
      </c>
      <c r="F251" t="b">
        <v>0</v>
      </c>
      <c r="G251" s="4" t="s">
        <v>223</v>
      </c>
      <c r="H251" t="s">
        <v>127</v>
      </c>
      <c r="I251" t="b">
        <v>0</v>
      </c>
    </row>
    <row r="252" spans="1:9" ht="15" hidden="1" customHeight="1" x14ac:dyDescent="0.2">
      <c r="A252" t="s">
        <v>222</v>
      </c>
      <c r="B252" s="5">
        <v>45216</v>
      </c>
      <c r="C252" s="3">
        <v>0.47916666666666669</v>
      </c>
      <c r="D252" s="5">
        <v>45216</v>
      </c>
      <c r="E252" s="3">
        <v>0.52083333333333337</v>
      </c>
      <c r="F252" t="b">
        <v>0</v>
      </c>
      <c r="G252" s="4" t="s">
        <v>223</v>
      </c>
      <c r="H252" t="s">
        <v>224</v>
      </c>
      <c r="I252" t="b">
        <v>0</v>
      </c>
    </row>
    <row r="253" spans="1:9" ht="15" hidden="1" customHeight="1" x14ac:dyDescent="0.2">
      <c r="A253" t="s">
        <v>222</v>
      </c>
      <c r="B253" s="5">
        <v>45216</v>
      </c>
      <c r="C253" s="3">
        <v>0.58333333333333337</v>
      </c>
      <c r="D253" s="5">
        <v>45216</v>
      </c>
      <c r="E253" s="3">
        <v>0.66666666666666663</v>
      </c>
      <c r="F253" t="b">
        <v>0</v>
      </c>
      <c r="G253" s="4" t="s">
        <v>223</v>
      </c>
      <c r="I253" t="b">
        <v>0</v>
      </c>
    </row>
    <row r="254" spans="1:9" ht="15" hidden="1" customHeight="1" x14ac:dyDescent="0.2">
      <c r="A254" t="s">
        <v>222</v>
      </c>
      <c r="B254" s="5">
        <v>45216</v>
      </c>
      <c r="C254" s="3">
        <v>0.6875</v>
      </c>
      <c r="D254" s="5">
        <v>45216</v>
      </c>
      <c r="E254" s="3">
        <v>0.77083333333333337</v>
      </c>
      <c r="F254" t="b">
        <v>0</v>
      </c>
      <c r="G254" s="4" t="s">
        <v>223</v>
      </c>
      <c r="I254" t="b">
        <v>0</v>
      </c>
    </row>
    <row r="255" spans="1:9" ht="15" hidden="1" customHeight="1" x14ac:dyDescent="0.2">
      <c r="A255" t="s">
        <v>222</v>
      </c>
      <c r="B255" s="5">
        <v>45217</v>
      </c>
      <c r="C255" s="3">
        <v>0.47916666666666669</v>
      </c>
      <c r="D255" s="5">
        <v>45217</v>
      </c>
      <c r="E255" s="3">
        <v>0.52083333333333337</v>
      </c>
      <c r="F255" t="b">
        <v>0</v>
      </c>
      <c r="G255" s="4" t="s">
        <v>223</v>
      </c>
      <c r="H255" t="s">
        <v>127</v>
      </c>
      <c r="I255" t="b">
        <v>0</v>
      </c>
    </row>
    <row r="256" spans="1:9" ht="15" hidden="1" customHeight="1" x14ac:dyDescent="0.2">
      <c r="A256" t="s">
        <v>222</v>
      </c>
      <c r="B256" s="5">
        <v>45217</v>
      </c>
      <c r="C256" s="3">
        <v>0.47916666666666669</v>
      </c>
      <c r="D256" s="5">
        <v>45217</v>
      </c>
      <c r="E256" s="3">
        <v>0.52083333333333337</v>
      </c>
      <c r="F256" t="b">
        <v>0</v>
      </c>
      <c r="G256" s="4" t="s">
        <v>223</v>
      </c>
      <c r="H256" t="s">
        <v>224</v>
      </c>
      <c r="I256" t="b">
        <v>0</v>
      </c>
    </row>
    <row r="257" spans="1:9" ht="15" hidden="1" customHeight="1" x14ac:dyDescent="0.2">
      <c r="A257" t="s">
        <v>222</v>
      </c>
      <c r="B257" s="5">
        <v>45218</v>
      </c>
      <c r="C257" s="3">
        <v>0.58333333333333337</v>
      </c>
      <c r="D257" s="5">
        <v>45218</v>
      </c>
      <c r="E257" s="3">
        <v>0.66666666666666663</v>
      </c>
      <c r="F257" t="b">
        <v>0</v>
      </c>
      <c r="G257" s="4" t="s">
        <v>223</v>
      </c>
      <c r="I257" t="b">
        <v>0</v>
      </c>
    </row>
    <row r="258" spans="1:9" ht="15" hidden="1" customHeight="1" x14ac:dyDescent="0.2">
      <c r="A258" t="s">
        <v>222</v>
      </c>
      <c r="B258" s="5">
        <v>45218</v>
      </c>
      <c r="C258" s="3">
        <v>0.6875</v>
      </c>
      <c r="D258" s="5">
        <v>45218</v>
      </c>
      <c r="E258" s="3">
        <v>0.77083333333333337</v>
      </c>
      <c r="F258" t="b">
        <v>0</v>
      </c>
      <c r="G258" s="4" t="s">
        <v>223</v>
      </c>
      <c r="I258" t="b">
        <v>0</v>
      </c>
    </row>
    <row r="259" spans="1:9" ht="15" hidden="1" customHeight="1" x14ac:dyDescent="0.2">
      <c r="A259" t="s">
        <v>222</v>
      </c>
      <c r="B259" s="5">
        <v>45222</v>
      </c>
      <c r="C259" s="3">
        <v>0.47916666666666669</v>
      </c>
      <c r="D259" s="5">
        <v>45222</v>
      </c>
      <c r="E259" s="3">
        <v>0.52083333333333337</v>
      </c>
      <c r="F259" t="b">
        <v>0</v>
      </c>
      <c r="G259" s="4" t="s">
        <v>223</v>
      </c>
      <c r="H259" t="s">
        <v>127</v>
      </c>
      <c r="I259" t="b">
        <v>0</v>
      </c>
    </row>
    <row r="260" spans="1:9" ht="15" hidden="1" customHeight="1" x14ac:dyDescent="0.2">
      <c r="A260" t="s">
        <v>222</v>
      </c>
      <c r="B260" s="5">
        <v>45222</v>
      </c>
      <c r="C260" s="3">
        <v>0.47916666666666669</v>
      </c>
      <c r="D260" s="5">
        <v>45222</v>
      </c>
      <c r="E260" s="3">
        <v>0.52083333333333337</v>
      </c>
      <c r="F260" t="b">
        <v>0</v>
      </c>
      <c r="G260" s="4" t="s">
        <v>223</v>
      </c>
      <c r="H260" t="s">
        <v>224</v>
      </c>
      <c r="I260" t="b">
        <v>0</v>
      </c>
    </row>
    <row r="261" spans="1:9" ht="15" hidden="1" customHeight="1" x14ac:dyDescent="0.2">
      <c r="A261" t="s">
        <v>222</v>
      </c>
      <c r="B261" s="5">
        <v>45223</v>
      </c>
      <c r="C261" s="3">
        <v>0.47916666666666669</v>
      </c>
      <c r="D261" s="5">
        <v>45223</v>
      </c>
      <c r="E261" s="3">
        <v>0.52083333333333337</v>
      </c>
      <c r="F261" t="b">
        <v>0</v>
      </c>
      <c r="G261" s="4" t="s">
        <v>223</v>
      </c>
      <c r="H261" t="s">
        <v>127</v>
      </c>
      <c r="I261" t="b">
        <v>0</v>
      </c>
    </row>
    <row r="262" spans="1:9" ht="15" hidden="1" customHeight="1" x14ac:dyDescent="0.2">
      <c r="A262" t="s">
        <v>222</v>
      </c>
      <c r="B262" s="5">
        <v>45223</v>
      </c>
      <c r="C262" s="3">
        <v>0.47916666666666669</v>
      </c>
      <c r="D262" s="5">
        <v>45223</v>
      </c>
      <c r="E262" s="3">
        <v>0.52083333333333337</v>
      </c>
      <c r="F262" t="b">
        <v>0</v>
      </c>
      <c r="G262" s="4" t="s">
        <v>223</v>
      </c>
      <c r="H262" t="s">
        <v>224</v>
      </c>
      <c r="I262" t="b">
        <v>0</v>
      </c>
    </row>
    <row r="263" spans="1:9" ht="15" hidden="1" customHeight="1" x14ac:dyDescent="0.2">
      <c r="A263" t="s">
        <v>222</v>
      </c>
      <c r="B263" s="5">
        <v>45223</v>
      </c>
      <c r="C263" s="3">
        <v>0.58333333333333337</v>
      </c>
      <c r="D263" s="5">
        <v>45223</v>
      </c>
      <c r="E263" s="3">
        <v>0.66666666666666663</v>
      </c>
      <c r="F263" t="b">
        <v>0</v>
      </c>
      <c r="G263" s="4" t="s">
        <v>223</v>
      </c>
      <c r="I263" t="b">
        <v>0</v>
      </c>
    </row>
    <row r="264" spans="1:9" ht="15" hidden="1" customHeight="1" x14ac:dyDescent="0.2">
      <c r="A264" t="s">
        <v>222</v>
      </c>
      <c r="B264" s="5">
        <v>45223</v>
      </c>
      <c r="C264" s="3">
        <v>0.6875</v>
      </c>
      <c r="D264" s="5">
        <v>45223</v>
      </c>
      <c r="E264" s="3">
        <v>0.77083333333333337</v>
      </c>
      <c r="F264" t="b">
        <v>0</v>
      </c>
      <c r="G264" s="4" t="s">
        <v>223</v>
      </c>
      <c r="I264" t="b">
        <v>0</v>
      </c>
    </row>
    <row r="265" spans="1:9" ht="15" hidden="1" customHeight="1" x14ac:dyDescent="0.2">
      <c r="A265" t="s">
        <v>222</v>
      </c>
      <c r="B265" s="5">
        <v>45224</v>
      </c>
      <c r="C265" s="3">
        <v>0.47916666666666669</v>
      </c>
      <c r="D265" s="5">
        <v>45224</v>
      </c>
      <c r="E265" s="3">
        <v>0.52083333333333337</v>
      </c>
      <c r="F265" t="b">
        <v>0</v>
      </c>
      <c r="G265" s="4" t="s">
        <v>223</v>
      </c>
      <c r="H265" t="s">
        <v>127</v>
      </c>
      <c r="I265" t="b">
        <v>0</v>
      </c>
    </row>
    <row r="266" spans="1:9" ht="15" hidden="1" customHeight="1" x14ac:dyDescent="0.2">
      <c r="A266" t="s">
        <v>222</v>
      </c>
      <c r="B266" s="5">
        <v>45224</v>
      </c>
      <c r="C266" s="3">
        <v>0.47916666666666669</v>
      </c>
      <c r="D266" s="5">
        <v>45224</v>
      </c>
      <c r="E266" s="3">
        <v>0.52083333333333337</v>
      </c>
      <c r="F266" t="b">
        <v>0</v>
      </c>
      <c r="G266" s="4" t="s">
        <v>223</v>
      </c>
      <c r="H266" t="s">
        <v>224</v>
      </c>
      <c r="I266" t="b">
        <v>0</v>
      </c>
    </row>
    <row r="267" spans="1:9" ht="15" hidden="1" customHeight="1" x14ac:dyDescent="0.2">
      <c r="A267" t="s">
        <v>222</v>
      </c>
      <c r="B267" s="5">
        <v>45225</v>
      </c>
      <c r="C267" s="3">
        <v>0.58333333333333337</v>
      </c>
      <c r="D267" s="5">
        <v>45225</v>
      </c>
      <c r="E267" s="3">
        <v>0.66666666666666663</v>
      </c>
      <c r="F267" t="b">
        <v>0</v>
      </c>
      <c r="G267" s="4" t="s">
        <v>223</v>
      </c>
      <c r="I267" t="b">
        <v>0</v>
      </c>
    </row>
    <row r="268" spans="1:9" ht="15" hidden="1" customHeight="1" x14ac:dyDescent="0.2">
      <c r="A268" t="s">
        <v>222</v>
      </c>
      <c r="B268" s="5">
        <v>45225</v>
      </c>
      <c r="C268" s="3">
        <v>0.6875</v>
      </c>
      <c r="D268" s="5">
        <v>45225</v>
      </c>
      <c r="E268" s="3">
        <v>0.77083333333333337</v>
      </c>
      <c r="F268" t="b">
        <v>0</v>
      </c>
      <c r="G268" s="4" t="s">
        <v>223</v>
      </c>
      <c r="I268" t="b">
        <v>0</v>
      </c>
    </row>
    <row r="269" spans="1:9" ht="15" hidden="1" customHeight="1" x14ac:dyDescent="0.2">
      <c r="A269" t="s">
        <v>222</v>
      </c>
      <c r="B269" s="5">
        <v>45229</v>
      </c>
      <c r="C269" s="3">
        <v>0.47916666666666669</v>
      </c>
      <c r="D269" s="5">
        <v>45229</v>
      </c>
      <c r="E269" s="3">
        <v>0.52083333333333337</v>
      </c>
      <c r="F269" t="b">
        <v>0</v>
      </c>
      <c r="G269" s="4" t="s">
        <v>223</v>
      </c>
      <c r="H269" t="s">
        <v>127</v>
      </c>
      <c r="I269" t="b">
        <v>0</v>
      </c>
    </row>
    <row r="270" spans="1:9" ht="15" hidden="1" customHeight="1" x14ac:dyDescent="0.2">
      <c r="A270" t="s">
        <v>222</v>
      </c>
      <c r="B270" s="5">
        <v>45229</v>
      </c>
      <c r="C270" s="3">
        <v>0.47916666666666669</v>
      </c>
      <c r="D270" s="5">
        <v>45229</v>
      </c>
      <c r="E270" s="3">
        <v>0.52083333333333337</v>
      </c>
      <c r="F270" t="b">
        <v>0</v>
      </c>
      <c r="G270" s="4" t="s">
        <v>223</v>
      </c>
      <c r="H270" t="s">
        <v>224</v>
      </c>
      <c r="I270" t="b">
        <v>0</v>
      </c>
    </row>
    <row r="271" spans="1:9" ht="15" hidden="1" customHeight="1" x14ac:dyDescent="0.2">
      <c r="A271" t="s">
        <v>222</v>
      </c>
      <c r="B271" s="5">
        <v>45230</v>
      </c>
      <c r="C271" s="3">
        <v>0.47916666666666669</v>
      </c>
      <c r="D271" s="5">
        <v>45230</v>
      </c>
      <c r="E271" s="3">
        <v>0.52083333333333337</v>
      </c>
      <c r="F271" t="b">
        <v>0</v>
      </c>
      <c r="G271" s="4" t="s">
        <v>223</v>
      </c>
      <c r="H271" t="s">
        <v>127</v>
      </c>
      <c r="I271" t="b">
        <v>0</v>
      </c>
    </row>
    <row r="272" spans="1:9" ht="15" hidden="1" customHeight="1" x14ac:dyDescent="0.2">
      <c r="A272" t="s">
        <v>222</v>
      </c>
      <c r="B272" s="5">
        <v>45230</v>
      </c>
      <c r="C272" s="3">
        <v>0.47916666666666669</v>
      </c>
      <c r="D272" s="5">
        <v>45230</v>
      </c>
      <c r="E272" s="3">
        <v>0.52083333333333337</v>
      </c>
      <c r="F272" t="b">
        <v>0</v>
      </c>
      <c r="G272" s="4" t="s">
        <v>223</v>
      </c>
      <c r="H272" t="s">
        <v>224</v>
      </c>
      <c r="I272" t="b">
        <v>0</v>
      </c>
    </row>
    <row r="273" spans="1:9" ht="15" hidden="1" customHeight="1" x14ac:dyDescent="0.2">
      <c r="A273" t="s">
        <v>222</v>
      </c>
      <c r="B273" s="5">
        <v>45230</v>
      </c>
      <c r="C273" s="3">
        <v>0.58333333333333337</v>
      </c>
      <c r="D273" s="5">
        <v>45230</v>
      </c>
      <c r="E273" s="3">
        <v>0.66666666666666663</v>
      </c>
      <c r="F273" t="b">
        <v>0</v>
      </c>
      <c r="G273" s="4" t="s">
        <v>223</v>
      </c>
      <c r="I273" t="b">
        <v>0</v>
      </c>
    </row>
    <row r="274" spans="1:9" ht="15" hidden="1" customHeight="1" x14ac:dyDescent="0.2">
      <c r="A274" t="s">
        <v>222</v>
      </c>
      <c r="B274" s="5">
        <v>45230</v>
      </c>
      <c r="C274" s="3">
        <v>0.6875</v>
      </c>
      <c r="D274" s="5">
        <v>45230</v>
      </c>
      <c r="E274" s="3">
        <v>0.77083333333333337</v>
      </c>
      <c r="F274" t="b">
        <v>0</v>
      </c>
      <c r="G274" s="4" t="s">
        <v>223</v>
      </c>
      <c r="I274" t="b">
        <v>0</v>
      </c>
    </row>
    <row r="275" spans="1:9" ht="15" hidden="1" customHeight="1" x14ac:dyDescent="0.2">
      <c r="A275" t="s">
        <v>222</v>
      </c>
      <c r="B275" s="5">
        <v>45231</v>
      </c>
      <c r="C275" s="3">
        <v>0.47916666666666669</v>
      </c>
      <c r="D275" s="5">
        <v>45231</v>
      </c>
      <c r="E275" s="3">
        <v>0.52083333333333337</v>
      </c>
      <c r="F275" t="b">
        <v>0</v>
      </c>
      <c r="G275" s="4" t="s">
        <v>223</v>
      </c>
      <c r="H275" t="s">
        <v>127</v>
      </c>
      <c r="I275" t="b">
        <v>0</v>
      </c>
    </row>
    <row r="276" spans="1:9" ht="15" hidden="1" customHeight="1" x14ac:dyDescent="0.2">
      <c r="A276" t="s">
        <v>222</v>
      </c>
      <c r="B276" s="5">
        <v>45231</v>
      </c>
      <c r="C276" s="3">
        <v>0.47916666666666669</v>
      </c>
      <c r="D276" s="5">
        <v>45231</v>
      </c>
      <c r="E276" s="3">
        <v>0.52083333333333337</v>
      </c>
      <c r="F276" t="b">
        <v>0</v>
      </c>
      <c r="G276" s="4" t="s">
        <v>223</v>
      </c>
      <c r="H276" t="s">
        <v>224</v>
      </c>
      <c r="I276" t="b">
        <v>0</v>
      </c>
    </row>
    <row r="277" spans="1:9" ht="15" hidden="1" customHeight="1" x14ac:dyDescent="0.2">
      <c r="A277" t="s">
        <v>222</v>
      </c>
      <c r="B277" s="5">
        <v>45232</v>
      </c>
      <c r="C277" s="3">
        <v>0.58333333333333337</v>
      </c>
      <c r="D277" s="5">
        <v>45232</v>
      </c>
      <c r="E277" s="3">
        <v>0.66666666666666663</v>
      </c>
      <c r="F277" t="b">
        <v>0</v>
      </c>
      <c r="G277" s="4" t="s">
        <v>223</v>
      </c>
      <c r="I277" t="b">
        <v>0</v>
      </c>
    </row>
    <row r="278" spans="1:9" ht="15" hidden="1" customHeight="1" x14ac:dyDescent="0.2">
      <c r="A278" t="s">
        <v>222</v>
      </c>
      <c r="B278" s="5">
        <v>45232</v>
      </c>
      <c r="C278" s="3">
        <v>0.6875</v>
      </c>
      <c r="D278" s="5">
        <v>45232</v>
      </c>
      <c r="E278" s="3">
        <v>0.77083333333333337</v>
      </c>
      <c r="F278" t="b">
        <v>0</v>
      </c>
      <c r="G278" s="4" t="s">
        <v>223</v>
      </c>
      <c r="I278" t="b">
        <v>0</v>
      </c>
    </row>
    <row r="279" spans="1:9" ht="15" hidden="1" customHeight="1" x14ac:dyDescent="0.2">
      <c r="A279" t="s">
        <v>222</v>
      </c>
      <c r="B279" s="5">
        <v>45236</v>
      </c>
      <c r="C279" s="3">
        <v>0.47916666666666669</v>
      </c>
      <c r="D279" s="5">
        <v>45236</v>
      </c>
      <c r="E279" s="3">
        <v>0.52083333333333337</v>
      </c>
      <c r="F279" t="b">
        <v>0</v>
      </c>
      <c r="G279" s="4" t="s">
        <v>223</v>
      </c>
      <c r="H279" t="s">
        <v>127</v>
      </c>
      <c r="I279" t="b">
        <v>0</v>
      </c>
    </row>
    <row r="280" spans="1:9" ht="15" hidden="1" customHeight="1" x14ac:dyDescent="0.2">
      <c r="A280" t="s">
        <v>222</v>
      </c>
      <c r="B280" s="5">
        <v>45236</v>
      </c>
      <c r="C280" s="3">
        <v>0.47916666666666669</v>
      </c>
      <c r="D280" s="5">
        <v>45236</v>
      </c>
      <c r="E280" s="3">
        <v>0.52083333333333337</v>
      </c>
      <c r="F280" t="b">
        <v>0</v>
      </c>
      <c r="G280" s="4" t="s">
        <v>223</v>
      </c>
      <c r="H280" t="s">
        <v>224</v>
      </c>
      <c r="I280" t="b">
        <v>0</v>
      </c>
    </row>
    <row r="281" spans="1:9" ht="15" hidden="1" customHeight="1" x14ac:dyDescent="0.2">
      <c r="A281" t="s">
        <v>222</v>
      </c>
      <c r="B281" s="5">
        <v>45237</v>
      </c>
      <c r="C281" s="3">
        <v>0.47916666666666669</v>
      </c>
      <c r="D281" s="5">
        <v>45237</v>
      </c>
      <c r="E281" s="3">
        <v>0.52083333333333337</v>
      </c>
      <c r="F281" t="b">
        <v>0</v>
      </c>
      <c r="G281" s="4" t="s">
        <v>223</v>
      </c>
      <c r="H281" t="s">
        <v>127</v>
      </c>
      <c r="I281" t="b">
        <v>0</v>
      </c>
    </row>
    <row r="282" spans="1:9" ht="15" hidden="1" customHeight="1" x14ac:dyDescent="0.2">
      <c r="A282" t="s">
        <v>222</v>
      </c>
      <c r="B282" s="5">
        <v>45237</v>
      </c>
      <c r="C282" s="3">
        <v>0.47916666666666669</v>
      </c>
      <c r="D282" s="5">
        <v>45237</v>
      </c>
      <c r="E282" s="3">
        <v>0.52083333333333337</v>
      </c>
      <c r="F282" t="b">
        <v>0</v>
      </c>
      <c r="G282" s="4" t="s">
        <v>223</v>
      </c>
      <c r="H282" t="s">
        <v>224</v>
      </c>
      <c r="I282" t="b">
        <v>0</v>
      </c>
    </row>
    <row r="283" spans="1:9" ht="15" hidden="1" customHeight="1" x14ac:dyDescent="0.2">
      <c r="A283" t="s">
        <v>222</v>
      </c>
      <c r="B283" s="5">
        <v>45237</v>
      </c>
      <c r="C283" s="3">
        <v>0.58333333333333337</v>
      </c>
      <c r="D283" s="5">
        <v>45237</v>
      </c>
      <c r="E283" s="3">
        <v>0.66666666666666663</v>
      </c>
      <c r="F283" t="b">
        <v>0</v>
      </c>
      <c r="G283" s="4" t="s">
        <v>223</v>
      </c>
      <c r="I283" t="b">
        <v>0</v>
      </c>
    </row>
    <row r="284" spans="1:9" ht="15" hidden="1" customHeight="1" x14ac:dyDescent="0.2">
      <c r="A284" t="s">
        <v>222</v>
      </c>
      <c r="B284" s="5">
        <v>45237</v>
      </c>
      <c r="C284" s="3">
        <v>0.6875</v>
      </c>
      <c r="D284" s="5">
        <v>45237</v>
      </c>
      <c r="E284" s="3">
        <v>0.77083333333333337</v>
      </c>
      <c r="F284" t="b">
        <v>0</v>
      </c>
      <c r="G284" s="4" t="s">
        <v>223</v>
      </c>
      <c r="I284" t="b">
        <v>0</v>
      </c>
    </row>
    <row r="285" spans="1:9" ht="15" hidden="1" customHeight="1" x14ac:dyDescent="0.2">
      <c r="A285" t="s">
        <v>222</v>
      </c>
      <c r="B285" s="5">
        <v>45238</v>
      </c>
      <c r="C285" s="3">
        <v>0.47916666666666669</v>
      </c>
      <c r="D285" s="5">
        <v>45238</v>
      </c>
      <c r="E285" s="3">
        <v>0.52083333333333337</v>
      </c>
      <c r="F285" t="b">
        <v>0</v>
      </c>
      <c r="G285" s="4" t="s">
        <v>223</v>
      </c>
      <c r="H285" t="s">
        <v>127</v>
      </c>
      <c r="I285" t="b">
        <v>0</v>
      </c>
    </row>
    <row r="286" spans="1:9" ht="15" hidden="1" customHeight="1" x14ac:dyDescent="0.2">
      <c r="A286" t="s">
        <v>222</v>
      </c>
      <c r="B286" s="5">
        <v>45238</v>
      </c>
      <c r="C286" s="3">
        <v>0.47916666666666669</v>
      </c>
      <c r="D286" s="5">
        <v>45238</v>
      </c>
      <c r="E286" s="3">
        <v>0.52083333333333337</v>
      </c>
      <c r="F286" t="b">
        <v>0</v>
      </c>
      <c r="G286" s="4" t="s">
        <v>223</v>
      </c>
      <c r="H286" t="s">
        <v>224</v>
      </c>
      <c r="I286" t="b">
        <v>0</v>
      </c>
    </row>
    <row r="287" spans="1:9" ht="15" hidden="1" customHeight="1" x14ac:dyDescent="0.2">
      <c r="A287" t="s">
        <v>222</v>
      </c>
      <c r="B287" s="5">
        <v>45239</v>
      </c>
      <c r="C287" s="3">
        <v>0.58333333333333337</v>
      </c>
      <c r="D287" s="5">
        <v>45239</v>
      </c>
      <c r="E287" s="3">
        <v>0.66666666666666663</v>
      </c>
      <c r="F287" t="b">
        <v>0</v>
      </c>
      <c r="G287" s="4" t="s">
        <v>223</v>
      </c>
      <c r="I287" t="b">
        <v>0</v>
      </c>
    </row>
    <row r="288" spans="1:9" ht="15" hidden="1" customHeight="1" x14ac:dyDescent="0.2">
      <c r="A288" t="s">
        <v>222</v>
      </c>
      <c r="B288" s="5">
        <v>45239</v>
      </c>
      <c r="C288" s="3">
        <v>0.6875</v>
      </c>
      <c r="D288" s="5">
        <v>45239</v>
      </c>
      <c r="E288" s="3">
        <v>0.77083333333333337</v>
      </c>
      <c r="F288" t="b">
        <v>0</v>
      </c>
      <c r="G288" s="4" t="s">
        <v>223</v>
      </c>
      <c r="I288" t="b">
        <v>0</v>
      </c>
    </row>
    <row r="289" spans="1:9" ht="15" hidden="1" customHeight="1" x14ac:dyDescent="0.2">
      <c r="A289" t="s">
        <v>156</v>
      </c>
      <c r="B289" s="5">
        <v>45194</v>
      </c>
      <c r="C289" s="3">
        <v>0.39583333333333331</v>
      </c>
      <c r="D289" s="5">
        <v>45194</v>
      </c>
      <c r="E289" s="3">
        <v>0.4375</v>
      </c>
      <c r="F289" t="b">
        <v>0</v>
      </c>
      <c r="G289" s="4" t="s">
        <v>157</v>
      </c>
      <c r="H289" t="s">
        <v>155</v>
      </c>
      <c r="I289" t="b">
        <v>0</v>
      </c>
    </row>
    <row r="290" spans="1:9" ht="15" hidden="1" customHeight="1" x14ac:dyDescent="0.2">
      <c r="A290" t="s">
        <v>156</v>
      </c>
      <c r="B290" s="5">
        <v>45196</v>
      </c>
      <c r="C290" s="3">
        <v>0.4375</v>
      </c>
      <c r="D290" s="5">
        <v>45196</v>
      </c>
      <c r="E290" s="3">
        <v>0.47916666666666669</v>
      </c>
      <c r="F290" t="b">
        <v>0</v>
      </c>
      <c r="G290" s="4" t="s">
        <v>157</v>
      </c>
      <c r="H290" t="s">
        <v>155</v>
      </c>
      <c r="I290" t="b">
        <v>0</v>
      </c>
    </row>
    <row r="291" spans="1:9" ht="15" hidden="1" customHeight="1" x14ac:dyDescent="0.2">
      <c r="A291" t="s">
        <v>156</v>
      </c>
      <c r="B291" s="5">
        <v>45198</v>
      </c>
      <c r="C291" s="3">
        <v>0.47916666666666669</v>
      </c>
      <c r="D291" s="5">
        <v>45198</v>
      </c>
      <c r="E291" s="3">
        <v>0.52083333333333337</v>
      </c>
      <c r="F291" t="b">
        <v>0</v>
      </c>
      <c r="G291" s="4" t="s">
        <v>157</v>
      </c>
      <c r="H291" t="s">
        <v>155</v>
      </c>
      <c r="I291" t="b">
        <v>0</v>
      </c>
    </row>
    <row r="292" spans="1:9" ht="15" hidden="1" customHeight="1" x14ac:dyDescent="0.2">
      <c r="A292" t="s">
        <v>156</v>
      </c>
      <c r="B292" s="5">
        <v>45201</v>
      </c>
      <c r="C292" s="3">
        <v>0.39583333333333331</v>
      </c>
      <c r="D292" s="5">
        <v>45201</v>
      </c>
      <c r="E292" s="3">
        <v>0.4375</v>
      </c>
      <c r="F292" t="b">
        <v>0</v>
      </c>
      <c r="G292" s="4" t="s">
        <v>157</v>
      </c>
      <c r="H292" t="s">
        <v>155</v>
      </c>
      <c r="I292" t="b">
        <v>0</v>
      </c>
    </row>
    <row r="293" spans="1:9" ht="15" hidden="1" customHeight="1" x14ac:dyDescent="0.2">
      <c r="A293" t="s">
        <v>156</v>
      </c>
      <c r="B293" s="5">
        <v>45203</v>
      </c>
      <c r="C293" s="3">
        <v>0.4375</v>
      </c>
      <c r="D293" s="5">
        <v>45203</v>
      </c>
      <c r="E293" s="3">
        <v>0.47916666666666669</v>
      </c>
      <c r="F293" t="b">
        <v>0</v>
      </c>
      <c r="G293" s="4" t="s">
        <v>157</v>
      </c>
      <c r="H293" t="s">
        <v>155</v>
      </c>
      <c r="I293" t="b">
        <v>0</v>
      </c>
    </row>
    <row r="294" spans="1:9" ht="15" hidden="1" customHeight="1" x14ac:dyDescent="0.2">
      <c r="A294" t="s">
        <v>156</v>
      </c>
      <c r="B294" s="5">
        <v>45205</v>
      </c>
      <c r="C294" s="3">
        <v>0.47916666666666669</v>
      </c>
      <c r="D294" s="5">
        <v>45205</v>
      </c>
      <c r="E294" s="3">
        <v>0.52083333333333337</v>
      </c>
      <c r="F294" t="b">
        <v>0</v>
      </c>
      <c r="G294" s="4" t="s">
        <v>157</v>
      </c>
      <c r="H294" t="s">
        <v>155</v>
      </c>
      <c r="I294" t="b">
        <v>0</v>
      </c>
    </row>
    <row r="295" spans="1:9" ht="15" hidden="1" customHeight="1" x14ac:dyDescent="0.2">
      <c r="A295" t="s">
        <v>156</v>
      </c>
      <c r="B295" s="5">
        <v>45208</v>
      </c>
      <c r="C295" s="3">
        <v>0.39583333333333331</v>
      </c>
      <c r="D295" s="5">
        <v>45208</v>
      </c>
      <c r="E295" s="3">
        <v>0.4375</v>
      </c>
      <c r="F295" t="b">
        <v>0</v>
      </c>
      <c r="G295" s="4" t="s">
        <v>157</v>
      </c>
      <c r="H295" t="s">
        <v>155</v>
      </c>
      <c r="I295" t="b">
        <v>0</v>
      </c>
    </row>
    <row r="296" spans="1:9" ht="15" hidden="1" customHeight="1" x14ac:dyDescent="0.2">
      <c r="A296" t="s">
        <v>156</v>
      </c>
      <c r="B296" s="5">
        <v>45210</v>
      </c>
      <c r="C296" s="3">
        <v>0.4375</v>
      </c>
      <c r="D296" s="5">
        <v>45210</v>
      </c>
      <c r="E296" s="3">
        <v>0.47916666666666669</v>
      </c>
      <c r="F296" t="b">
        <v>0</v>
      </c>
      <c r="G296" s="4" t="s">
        <v>157</v>
      </c>
      <c r="H296" t="s">
        <v>155</v>
      </c>
      <c r="I296" t="b">
        <v>0</v>
      </c>
    </row>
    <row r="297" spans="1:9" ht="15" hidden="1" customHeight="1" x14ac:dyDescent="0.2">
      <c r="A297" t="s">
        <v>156</v>
      </c>
      <c r="B297" s="5">
        <v>45212</v>
      </c>
      <c r="C297" s="3">
        <v>0.47916666666666669</v>
      </c>
      <c r="D297" s="5">
        <v>45212</v>
      </c>
      <c r="E297" s="3">
        <v>0.52083333333333337</v>
      </c>
      <c r="F297" t="b">
        <v>0</v>
      </c>
      <c r="G297" s="4" t="s">
        <v>157</v>
      </c>
      <c r="H297" t="s">
        <v>155</v>
      </c>
      <c r="I297" t="b">
        <v>0</v>
      </c>
    </row>
    <row r="298" spans="1:9" ht="15" hidden="1" customHeight="1" x14ac:dyDescent="0.2">
      <c r="A298" t="s">
        <v>156</v>
      </c>
      <c r="B298" s="5">
        <v>45215</v>
      </c>
      <c r="C298" s="3">
        <v>0.39583333333333331</v>
      </c>
      <c r="D298" s="5">
        <v>45215</v>
      </c>
      <c r="E298" s="3">
        <v>0.4375</v>
      </c>
      <c r="F298" t="b">
        <v>0</v>
      </c>
      <c r="G298" s="4" t="s">
        <v>157</v>
      </c>
      <c r="H298" t="s">
        <v>155</v>
      </c>
      <c r="I298" t="b">
        <v>0</v>
      </c>
    </row>
    <row r="299" spans="1:9" ht="15" hidden="1" customHeight="1" x14ac:dyDescent="0.2">
      <c r="A299" t="s">
        <v>156</v>
      </c>
      <c r="B299" s="5">
        <v>45217</v>
      </c>
      <c r="C299" s="3">
        <v>0.4375</v>
      </c>
      <c r="D299" s="5">
        <v>45217</v>
      </c>
      <c r="E299" s="3">
        <v>0.47916666666666669</v>
      </c>
      <c r="F299" t="b">
        <v>0</v>
      </c>
      <c r="G299" s="4" t="s">
        <v>157</v>
      </c>
      <c r="H299" t="s">
        <v>155</v>
      </c>
      <c r="I299" t="b">
        <v>0</v>
      </c>
    </row>
    <row r="300" spans="1:9" ht="15" hidden="1" customHeight="1" x14ac:dyDescent="0.2">
      <c r="A300" t="s">
        <v>156</v>
      </c>
      <c r="B300" s="5">
        <v>45219</v>
      </c>
      <c r="C300" s="3">
        <v>0.47916666666666669</v>
      </c>
      <c r="D300" s="5">
        <v>45219</v>
      </c>
      <c r="E300" s="3">
        <v>0.52083333333333337</v>
      </c>
      <c r="F300" t="b">
        <v>0</v>
      </c>
      <c r="G300" s="4" t="s">
        <v>157</v>
      </c>
      <c r="H300" t="s">
        <v>155</v>
      </c>
      <c r="I300" t="b">
        <v>0</v>
      </c>
    </row>
    <row r="301" spans="1:9" ht="15" hidden="1" customHeight="1" x14ac:dyDescent="0.2">
      <c r="A301" t="s">
        <v>156</v>
      </c>
      <c r="B301" s="5">
        <v>45222</v>
      </c>
      <c r="C301" s="3">
        <v>0.39583333333333331</v>
      </c>
      <c r="D301" s="5">
        <v>45222</v>
      </c>
      <c r="E301" s="3">
        <v>0.4375</v>
      </c>
      <c r="F301" t="b">
        <v>0</v>
      </c>
      <c r="G301" s="4" t="s">
        <v>157</v>
      </c>
      <c r="H301" t="s">
        <v>155</v>
      </c>
      <c r="I301" t="b">
        <v>0</v>
      </c>
    </row>
    <row r="302" spans="1:9" ht="15" hidden="1" customHeight="1" x14ac:dyDescent="0.2">
      <c r="A302" t="s">
        <v>156</v>
      </c>
      <c r="B302" s="5">
        <v>45224</v>
      </c>
      <c r="C302" s="3">
        <v>0.4375</v>
      </c>
      <c r="D302" s="5">
        <v>45224</v>
      </c>
      <c r="E302" s="3">
        <v>0.47916666666666669</v>
      </c>
      <c r="F302" t="b">
        <v>0</v>
      </c>
      <c r="G302" s="4" t="s">
        <v>157</v>
      </c>
      <c r="H302" t="s">
        <v>155</v>
      </c>
      <c r="I302" t="b">
        <v>0</v>
      </c>
    </row>
    <row r="303" spans="1:9" ht="15" hidden="1" customHeight="1" x14ac:dyDescent="0.2">
      <c r="A303" t="s">
        <v>156</v>
      </c>
      <c r="B303" s="5">
        <v>45226</v>
      </c>
      <c r="C303" s="3">
        <v>0.47916666666666669</v>
      </c>
      <c r="D303" s="5">
        <v>45226</v>
      </c>
      <c r="E303" s="3">
        <v>0.52083333333333337</v>
      </c>
      <c r="F303" t="b">
        <v>0</v>
      </c>
      <c r="G303" s="4" t="s">
        <v>157</v>
      </c>
      <c r="H303" t="s">
        <v>155</v>
      </c>
      <c r="I303" t="b">
        <v>0</v>
      </c>
    </row>
    <row r="304" spans="1:9" ht="15" hidden="1" customHeight="1" x14ac:dyDescent="0.2">
      <c r="A304" t="s">
        <v>156</v>
      </c>
      <c r="B304" s="5">
        <v>45229</v>
      </c>
      <c r="C304" s="3">
        <v>0.39583333333333331</v>
      </c>
      <c r="D304" s="5">
        <v>45229</v>
      </c>
      <c r="E304" s="3">
        <v>0.4375</v>
      </c>
      <c r="F304" t="b">
        <v>0</v>
      </c>
      <c r="G304" s="4" t="s">
        <v>157</v>
      </c>
      <c r="H304" t="s">
        <v>155</v>
      </c>
      <c r="I304" t="b">
        <v>0</v>
      </c>
    </row>
    <row r="305" spans="1:9" ht="15" hidden="1" customHeight="1" x14ac:dyDescent="0.2">
      <c r="A305" t="s">
        <v>156</v>
      </c>
      <c r="B305" s="5">
        <v>45231</v>
      </c>
      <c r="C305" s="3">
        <v>0.4375</v>
      </c>
      <c r="D305" s="5">
        <v>45231</v>
      </c>
      <c r="E305" s="3">
        <v>0.47916666666666669</v>
      </c>
      <c r="F305" t="b">
        <v>0</v>
      </c>
      <c r="G305" s="4" t="s">
        <v>157</v>
      </c>
      <c r="H305" t="s">
        <v>155</v>
      </c>
      <c r="I305" t="b">
        <v>0</v>
      </c>
    </row>
    <row r="306" spans="1:9" ht="15" hidden="1" customHeight="1" x14ac:dyDescent="0.2">
      <c r="A306" t="s">
        <v>156</v>
      </c>
      <c r="B306" s="5">
        <v>45233</v>
      </c>
      <c r="C306" s="3">
        <v>0.47916666666666669</v>
      </c>
      <c r="D306" s="5">
        <v>45233</v>
      </c>
      <c r="E306" s="3">
        <v>0.52083333333333337</v>
      </c>
      <c r="F306" t="b">
        <v>0</v>
      </c>
      <c r="G306" s="4" t="s">
        <v>157</v>
      </c>
      <c r="H306" t="s">
        <v>155</v>
      </c>
      <c r="I306" t="b">
        <v>0</v>
      </c>
    </row>
    <row r="307" spans="1:9" ht="15" hidden="1" customHeight="1" x14ac:dyDescent="0.2">
      <c r="A307" t="s">
        <v>156</v>
      </c>
      <c r="B307" s="5">
        <v>45236</v>
      </c>
      <c r="C307" s="3">
        <v>0.39583333333333331</v>
      </c>
      <c r="D307" s="5">
        <v>45236</v>
      </c>
      <c r="E307" s="3">
        <v>0.4375</v>
      </c>
      <c r="F307" t="b">
        <v>0</v>
      </c>
      <c r="G307" s="4" t="s">
        <v>157</v>
      </c>
      <c r="H307" t="s">
        <v>155</v>
      </c>
      <c r="I307" t="b">
        <v>0</v>
      </c>
    </row>
    <row r="308" spans="1:9" ht="15" hidden="1" customHeight="1" x14ac:dyDescent="0.2">
      <c r="A308" t="s">
        <v>156</v>
      </c>
      <c r="B308" s="5">
        <v>45238</v>
      </c>
      <c r="C308" s="3">
        <v>0.4375</v>
      </c>
      <c r="D308" s="5">
        <v>45238</v>
      </c>
      <c r="E308" s="3">
        <v>0.47916666666666669</v>
      </c>
      <c r="F308" t="b">
        <v>0</v>
      </c>
      <c r="G308" s="4" t="s">
        <v>157</v>
      </c>
      <c r="H308" t="s">
        <v>155</v>
      </c>
      <c r="I308" t="b">
        <v>0</v>
      </c>
    </row>
    <row r="309" spans="1:9" ht="15" hidden="1" customHeight="1" x14ac:dyDescent="0.2">
      <c r="A309" t="s">
        <v>156</v>
      </c>
      <c r="B309" s="5">
        <v>45240</v>
      </c>
      <c r="C309" s="3">
        <v>0.47916666666666669</v>
      </c>
      <c r="D309" s="5">
        <v>45240</v>
      </c>
      <c r="E309" s="3">
        <v>0.52083333333333337</v>
      </c>
      <c r="F309" t="b">
        <v>0</v>
      </c>
      <c r="G309" s="4" t="s">
        <v>157</v>
      </c>
      <c r="H309" t="s">
        <v>155</v>
      </c>
      <c r="I309" t="b">
        <v>0</v>
      </c>
    </row>
    <row r="310" spans="1:9" ht="15" hidden="1" customHeight="1" x14ac:dyDescent="0.2">
      <c r="A310" s="6" t="s">
        <v>237</v>
      </c>
      <c r="B310" s="5">
        <v>45194</v>
      </c>
      <c r="C310" s="3">
        <v>0.39583333333333331</v>
      </c>
      <c r="D310" s="5">
        <v>45194</v>
      </c>
      <c r="E310" s="3">
        <v>0.4375</v>
      </c>
      <c r="F310" t="b">
        <v>0</v>
      </c>
      <c r="G310" s="7" t="s">
        <v>238</v>
      </c>
      <c r="H310" t="s">
        <v>242</v>
      </c>
      <c r="I310" t="b">
        <v>0</v>
      </c>
    </row>
    <row r="311" spans="1:9" ht="15" hidden="1" customHeight="1" x14ac:dyDescent="0.2">
      <c r="A311" t="s">
        <v>153</v>
      </c>
      <c r="B311" s="5">
        <v>45196</v>
      </c>
      <c r="C311" s="3">
        <v>0.39583333333333331</v>
      </c>
      <c r="D311" s="5">
        <v>45196</v>
      </c>
      <c r="E311" s="3">
        <v>0.4375</v>
      </c>
      <c r="F311" t="b">
        <v>0</v>
      </c>
      <c r="G311" s="4" t="s">
        <v>154</v>
      </c>
      <c r="H311" t="s">
        <v>155</v>
      </c>
      <c r="I311" t="b">
        <v>0</v>
      </c>
    </row>
    <row r="312" spans="1:9" ht="15" hidden="1" customHeight="1" x14ac:dyDescent="0.2">
      <c r="A312" t="s">
        <v>153</v>
      </c>
      <c r="B312" s="5">
        <v>45198</v>
      </c>
      <c r="C312" s="3">
        <v>0.4375</v>
      </c>
      <c r="D312" s="5">
        <v>45198</v>
      </c>
      <c r="E312" s="3">
        <v>0.47916666666666669</v>
      </c>
      <c r="F312" t="b">
        <v>0</v>
      </c>
      <c r="G312" s="4" t="s">
        <v>154</v>
      </c>
      <c r="H312" t="s">
        <v>155</v>
      </c>
      <c r="I312" t="b">
        <v>0</v>
      </c>
    </row>
    <row r="313" spans="1:9" ht="15" hidden="1" customHeight="1" x14ac:dyDescent="0.2">
      <c r="A313" t="s">
        <v>153</v>
      </c>
      <c r="B313" s="5">
        <v>45201</v>
      </c>
      <c r="C313" s="3">
        <v>0.35416666666666669</v>
      </c>
      <c r="D313" s="5">
        <v>45201</v>
      </c>
      <c r="E313" s="3">
        <v>0.39583333333333331</v>
      </c>
      <c r="F313" t="b">
        <v>0</v>
      </c>
      <c r="G313" s="4" t="s">
        <v>154</v>
      </c>
      <c r="H313" t="s">
        <v>155</v>
      </c>
      <c r="I313" t="b">
        <v>0</v>
      </c>
    </row>
    <row r="314" spans="1:9" ht="15" hidden="1" customHeight="1" x14ac:dyDescent="0.2">
      <c r="A314" t="s">
        <v>153</v>
      </c>
      <c r="B314" s="5">
        <v>45203</v>
      </c>
      <c r="C314" s="3">
        <v>0.39583333333333331</v>
      </c>
      <c r="D314" s="5">
        <v>45203</v>
      </c>
      <c r="E314" s="3">
        <v>0.4375</v>
      </c>
      <c r="F314" t="b">
        <v>0</v>
      </c>
      <c r="G314" s="4" t="s">
        <v>154</v>
      </c>
      <c r="H314" t="s">
        <v>155</v>
      </c>
      <c r="I314" t="b">
        <v>0</v>
      </c>
    </row>
    <row r="315" spans="1:9" ht="15" hidden="1" customHeight="1" x14ac:dyDescent="0.2">
      <c r="A315" t="s">
        <v>153</v>
      </c>
      <c r="B315" s="5">
        <v>45205</v>
      </c>
      <c r="C315" s="3">
        <v>0.4375</v>
      </c>
      <c r="D315" s="5">
        <v>45205</v>
      </c>
      <c r="E315" s="3">
        <v>0.47916666666666669</v>
      </c>
      <c r="F315" t="b">
        <v>0</v>
      </c>
      <c r="G315" s="4" t="s">
        <v>154</v>
      </c>
      <c r="H315" t="s">
        <v>155</v>
      </c>
      <c r="I315" t="b">
        <v>0</v>
      </c>
    </row>
    <row r="316" spans="1:9" ht="15" hidden="1" customHeight="1" x14ac:dyDescent="0.2">
      <c r="A316" t="s">
        <v>153</v>
      </c>
      <c r="B316" s="5">
        <v>45208</v>
      </c>
      <c r="C316" s="3">
        <v>0.35416666666666669</v>
      </c>
      <c r="D316" s="5">
        <v>45208</v>
      </c>
      <c r="E316" s="3">
        <v>0.39583333333333331</v>
      </c>
      <c r="F316" t="b">
        <v>0</v>
      </c>
      <c r="G316" s="4" t="s">
        <v>154</v>
      </c>
      <c r="H316" t="s">
        <v>155</v>
      </c>
      <c r="I316" t="b">
        <v>0</v>
      </c>
    </row>
    <row r="317" spans="1:9" ht="15" hidden="1" customHeight="1" x14ac:dyDescent="0.2">
      <c r="A317" t="s">
        <v>153</v>
      </c>
      <c r="B317" s="5">
        <v>45210</v>
      </c>
      <c r="C317" s="3">
        <v>0.39583333333333331</v>
      </c>
      <c r="D317" s="5">
        <v>45210</v>
      </c>
      <c r="E317" s="3">
        <v>0.4375</v>
      </c>
      <c r="F317" t="b">
        <v>0</v>
      </c>
      <c r="G317" s="4" t="s">
        <v>154</v>
      </c>
      <c r="H317" t="s">
        <v>155</v>
      </c>
      <c r="I317" t="b">
        <v>0</v>
      </c>
    </row>
    <row r="318" spans="1:9" ht="15" hidden="1" customHeight="1" x14ac:dyDescent="0.2">
      <c r="A318" t="s">
        <v>153</v>
      </c>
      <c r="B318" s="5">
        <v>45212</v>
      </c>
      <c r="C318" s="3">
        <v>0.4375</v>
      </c>
      <c r="D318" s="5">
        <v>45212</v>
      </c>
      <c r="E318" s="3">
        <v>0.47916666666666669</v>
      </c>
      <c r="F318" t="b">
        <v>0</v>
      </c>
      <c r="G318" s="4" t="s">
        <v>154</v>
      </c>
      <c r="H318" t="s">
        <v>155</v>
      </c>
      <c r="I318" t="b">
        <v>0</v>
      </c>
    </row>
    <row r="319" spans="1:9" ht="15" hidden="1" customHeight="1" x14ac:dyDescent="0.2">
      <c r="A319" t="s">
        <v>153</v>
      </c>
      <c r="B319" s="5">
        <v>45215</v>
      </c>
      <c r="C319" s="3">
        <v>0.35416666666666669</v>
      </c>
      <c r="D319" s="5">
        <v>45215</v>
      </c>
      <c r="E319" s="3">
        <v>0.39583333333333331</v>
      </c>
      <c r="F319" t="b">
        <v>0</v>
      </c>
      <c r="G319" s="4" t="s">
        <v>154</v>
      </c>
      <c r="H319" t="s">
        <v>155</v>
      </c>
      <c r="I319" t="b">
        <v>0</v>
      </c>
    </row>
    <row r="320" spans="1:9" ht="15" hidden="1" customHeight="1" x14ac:dyDescent="0.2">
      <c r="A320" t="s">
        <v>153</v>
      </c>
      <c r="B320" s="5">
        <v>45217</v>
      </c>
      <c r="C320" s="3">
        <v>0.39583333333333331</v>
      </c>
      <c r="D320" s="5">
        <v>45217</v>
      </c>
      <c r="E320" s="3">
        <v>0.4375</v>
      </c>
      <c r="F320" t="b">
        <v>0</v>
      </c>
      <c r="G320" s="4" t="s">
        <v>154</v>
      </c>
      <c r="H320" t="s">
        <v>155</v>
      </c>
      <c r="I320" t="b">
        <v>0</v>
      </c>
    </row>
    <row r="321" spans="1:9" ht="15" hidden="1" customHeight="1" x14ac:dyDescent="0.2">
      <c r="A321" t="s">
        <v>153</v>
      </c>
      <c r="B321" s="5">
        <v>45219</v>
      </c>
      <c r="C321" s="3">
        <v>0.4375</v>
      </c>
      <c r="D321" s="5">
        <v>45219</v>
      </c>
      <c r="E321" s="3">
        <v>0.47916666666666669</v>
      </c>
      <c r="F321" t="b">
        <v>0</v>
      </c>
      <c r="G321" s="4" t="s">
        <v>154</v>
      </c>
      <c r="H321" t="s">
        <v>155</v>
      </c>
      <c r="I321" t="b">
        <v>0</v>
      </c>
    </row>
    <row r="322" spans="1:9" ht="15" hidden="1" customHeight="1" x14ac:dyDescent="0.2">
      <c r="A322" t="s">
        <v>153</v>
      </c>
      <c r="B322" s="5">
        <v>45222</v>
      </c>
      <c r="C322" s="3">
        <v>0.35416666666666669</v>
      </c>
      <c r="D322" s="5">
        <v>45222</v>
      </c>
      <c r="E322" s="3">
        <v>0.39583333333333331</v>
      </c>
      <c r="F322" t="b">
        <v>0</v>
      </c>
      <c r="G322" s="4" t="s">
        <v>154</v>
      </c>
      <c r="H322" t="s">
        <v>155</v>
      </c>
      <c r="I322" t="b">
        <v>0</v>
      </c>
    </row>
    <row r="323" spans="1:9" ht="15" hidden="1" customHeight="1" x14ac:dyDescent="0.2">
      <c r="A323" t="s">
        <v>153</v>
      </c>
      <c r="B323" s="5">
        <v>45224</v>
      </c>
      <c r="C323" s="3">
        <v>0.39583333333333331</v>
      </c>
      <c r="D323" s="5">
        <v>45224</v>
      </c>
      <c r="E323" s="3">
        <v>0.4375</v>
      </c>
      <c r="F323" t="b">
        <v>0</v>
      </c>
      <c r="G323" s="4" t="s">
        <v>154</v>
      </c>
      <c r="H323" t="s">
        <v>155</v>
      </c>
      <c r="I323" t="b">
        <v>0</v>
      </c>
    </row>
    <row r="324" spans="1:9" ht="15" hidden="1" customHeight="1" x14ac:dyDescent="0.2">
      <c r="A324" t="s">
        <v>153</v>
      </c>
      <c r="B324" s="5">
        <v>45226</v>
      </c>
      <c r="C324" s="3">
        <v>0.4375</v>
      </c>
      <c r="D324" s="5">
        <v>45226</v>
      </c>
      <c r="E324" s="3">
        <v>0.47916666666666669</v>
      </c>
      <c r="F324" t="b">
        <v>0</v>
      </c>
      <c r="G324" s="4" t="s">
        <v>154</v>
      </c>
      <c r="H324" t="s">
        <v>155</v>
      </c>
      <c r="I324" t="b">
        <v>0</v>
      </c>
    </row>
    <row r="325" spans="1:9" ht="15" hidden="1" customHeight="1" x14ac:dyDescent="0.2">
      <c r="A325" t="s">
        <v>153</v>
      </c>
      <c r="B325" s="5">
        <v>45229</v>
      </c>
      <c r="C325" s="3">
        <v>0.35416666666666669</v>
      </c>
      <c r="D325" s="5">
        <v>45229</v>
      </c>
      <c r="E325" s="3">
        <v>0.39583333333333331</v>
      </c>
      <c r="F325" t="b">
        <v>0</v>
      </c>
      <c r="G325" s="4" t="s">
        <v>154</v>
      </c>
      <c r="H325" t="s">
        <v>155</v>
      </c>
      <c r="I325" t="b">
        <v>0</v>
      </c>
    </row>
    <row r="326" spans="1:9" ht="15" hidden="1" customHeight="1" x14ac:dyDescent="0.2">
      <c r="A326" t="s">
        <v>153</v>
      </c>
      <c r="B326" s="5">
        <v>45231</v>
      </c>
      <c r="C326" s="3">
        <v>0.39583333333333331</v>
      </c>
      <c r="D326" s="5">
        <v>45231</v>
      </c>
      <c r="E326" s="3">
        <v>0.4375</v>
      </c>
      <c r="F326" t="b">
        <v>0</v>
      </c>
      <c r="G326" s="4" t="s">
        <v>154</v>
      </c>
      <c r="H326" t="s">
        <v>155</v>
      </c>
      <c r="I326" t="b">
        <v>0</v>
      </c>
    </row>
    <row r="327" spans="1:9" ht="15" hidden="1" customHeight="1" x14ac:dyDescent="0.2">
      <c r="A327" t="s">
        <v>153</v>
      </c>
      <c r="B327" s="5">
        <v>45233</v>
      </c>
      <c r="C327" s="3">
        <v>0.4375</v>
      </c>
      <c r="D327" s="5">
        <v>45233</v>
      </c>
      <c r="E327" s="3">
        <v>0.47916666666666669</v>
      </c>
      <c r="F327" t="b">
        <v>0</v>
      </c>
      <c r="G327" s="4" t="s">
        <v>154</v>
      </c>
      <c r="H327" t="s">
        <v>155</v>
      </c>
      <c r="I327" t="b">
        <v>0</v>
      </c>
    </row>
    <row r="328" spans="1:9" ht="15" hidden="1" customHeight="1" x14ac:dyDescent="0.2">
      <c r="A328" t="s">
        <v>153</v>
      </c>
      <c r="B328" s="5">
        <v>45236</v>
      </c>
      <c r="C328" s="3">
        <v>0.35416666666666669</v>
      </c>
      <c r="D328" s="5">
        <v>45236</v>
      </c>
      <c r="E328" s="3">
        <v>0.39583333333333331</v>
      </c>
      <c r="F328" t="b">
        <v>0</v>
      </c>
      <c r="G328" s="4" t="s">
        <v>154</v>
      </c>
      <c r="H328" t="s">
        <v>155</v>
      </c>
      <c r="I328" t="b">
        <v>0</v>
      </c>
    </row>
    <row r="329" spans="1:9" ht="15" hidden="1" customHeight="1" x14ac:dyDescent="0.2">
      <c r="A329" t="s">
        <v>153</v>
      </c>
      <c r="B329" s="5">
        <v>45238</v>
      </c>
      <c r="C329" s="3">
        <v>0.39583333333333331</v>
      </c>
      <c r="D329" s="5">
        <v>45238</v>
      </c>
      <c r="E329" s="3">
        <v>0.4375</v>
      </c>
      <c r="F329" t="b">
        <v>0</v>
      </c>
      <c r="G329" s="4" t="s">
        <v>154</v>
      </c>
      <c r="H329" t="s">
        <v>155</v>
      </c>
      <c r="I329" t="b">
        <v>0</v>
      </c>
    </row>
    <row r="330" spans="1:9" ht="15" hidden="1" customHeight="1" x14ac:dyDescent="0.2">
      <c r="A330" t="s">
        <v>153</v>
      </c>
      <c r="B330" s="5">
        <v>45240</v>
      </c>
      <c r="C330" s="3">
        <v>0.4375</v>
      </c>
      <c r="D330" s="5">
        <v>45240</v>
      </c>
      <c r="E330" s="3">
        <v>0.47916666666666669</v>
      </c>
      <c r="F330" t="b">
        <v>0</v>
      </c>
      <c r="G330" s="4" t="s">
        <v>154</v>
      </c>
      <c r="H330" t="s">
        <v>155</v>
      </c>
      <c r="I330" t="b">
        <v>0</v>
      </c>
    </row>
    <row r="331" spans="1:9" ht="15" hidden="1" customHeight="1" x14ac:dyDescent="0.2">
      <c r="A331" t="s">
        <v>170</v>
      </c>
      <c r="B331" s="5">
        <v>45194</v>
      </c>
      <c r="C331" s="3">
        <v>0.39583333333333331</v>
      </c>
      <c r="D331" s="5">
        <v>45194</v>
      </c>
      <c r="E331" s="3">
        <v>0.4375</v>
      </c>
      <c r="F331" t="b">
        <v>0</v>
      </c>
      <c r="G331" s="4" t="s">
        <v>171</v>
      </c>
      <c r="H331" t="s">
        <v>125</v>
      </c>
      <c r="I331" t="b">
        <v>0</v>
      </c>
    </row>
    <row r="332" spans="1:9" ht="15" hidden="1" customHeight="1" x14ac:dyDescent="0.2">
      <c r="A332" t="s">
        <v>158</v>
      </c>
      <c r="B332" s="5">
        <v>45196</v>
      </c>
      <c r="C332" s="3">
        <v>0.625</v>
      </c>
      <c r="D332" s="5">
        <v>45196</v>
      </c>
      <c r="E332" s="3">
        <v>0.75</v>
      </c>
      <c r="F332" t="b">
        <v>0</v>
      </c>
      <c r="G332" s="4" t="s">
        <v>159</v>
      </c>
      <c r="I332" t="b">
        <v>0</v>
      </c>
    </row>
    <row r="333" spans="1:9" ht="15" hidden="1" customHeight="1" x14ac:dyDescent="0.2">
      <c r="A333" t="s">
        <v>158</v>
      </c>
      <c r="B333" s="5">
        <v>45201</v>
      </c>
      <c r="C333" s="3">
        <v>0.58333333333333337</v>
      </c>
      <c r="D333" s="5">
        <v>45201</v>
      </c>
      <c r="E333" s="3">
        <v>0.625</v>
      </c>
      <c r="F333" t="b">
        <v>0</v>
      </c>
      <c r="G333" s="3" t="s">
        <v>159</v>
      </c>
      <c r="H333" s="3" t="s">
        <v>127</v>
      </c>
      <c r="I333" t="b">
        <v>0</v>
      </c>
    </row>
    <row r="334" spans="1:9" ht="15" hidden="1" customHeight="1" x14ac:dyDescent="0.2">
      <c r="A334" t="s">
        <v>158</v>
      </c>
      <c r="B334" s="5">
        <v>45203</v>
      </c>
      <c r="C334" s="3">
        <v>0.625</v>
      </c>
      <c r="D334" s="5">
        <v>45203</v>
      </c>
      <c r="E334" s="3">
        <v>0.75</v>
      </c>
      <c r="F334" t="b">
        <v>0</v>
      </c>
      <c r="G334" s="3" t="s">
        <v>159</v>
      </c>
      <c r="H334" s="3"/>
      <c r="I334" t="b">
        <v>0</v>
      </c>
    </row>
    <row r="335" spans="1:9" ht="15" hidden="1" customHeight="1" x14ac:dyDescent="0.2">
      <c r="A335" t="s">
        <v>158</v>
      </c>
      <c r="B335" s="5">
        <v>45208</v>
      </c>
      <c r="C335" s="3">
        <v>0.58333333333333337</v>
      </c>
      <c r="D335" s="5">
        <v>45208</v>
      </c>
      <c r="E335" s="3">
        <v>0.625</v>
      </c>
      <c r="F335" t="b">
        <v>0</v>
      </c>
      <c r="G335" s="3" t="s">
        <v>159</v>
      </c>
      <c r="H335" s="3" t="s">
        <v>127</v>
      </c>
      <c r="I335" t="b">
        <v>0</v>
      </c>
    </row>
    <row r="336" spans="1:9" ht="15" hidden="1" customHeight="1" x14ac:dyDescent="0.2">
      <c r="A336" t="s">
        <v>158</v>
      </c>
      <c r="B336" s="5">
        <v>45210</v>
      </c>
      <c r="C336" s="3">
        <v>0.625</v>
      </c>
      <c r="D336" s="5">
        <v>45210</v>
      </c>
      <c r="E336" s="3">
        <v>0.75</v>
      </c>
      <c r="F336" t="b">
        <v>0</v>
      </c>
      <c r="G336" s="3" t="s">
        <v>159</v>
      </c>
      <c r="H336" s="3"/>
      <c r="I336" t="b">
        <v>0</v>
      </c>
    </row>
    <row r="337" spans="1:9" ht="15" hidden="1" customHeight="1" x14ac:dyDescent="0.2">
      <c r="A337" t="s">
        <v>158</v>
      </c>
      <c r="B337" s="5">
        <v>45215</v>
      </c>
      <c r="C337" s="3">
        <v>0.58333333333333337</v>
      </c>
      <c r="D337" s="5">
        <v>45215</v>
      </c>
      <c r="E337" s="3">
        <v>0.625</v>
      </c>
      <c r="F337" t="b">
        <v>0</v>
      </c>
      <c r="G337" s="3" t="s">
        <v>159</v>
      </c>
      <c r="H337" s="3" t="s">
        <v>127</v>
      </c>
      <c r="I337" t="b">
        <v>0</v>
      </c>
    </row>
    <row r="338" spans="1:9" ht="15" hidden="1" customHeight="1" x14ac:dyDescent="0.2">
      <c r="A338" t="s">
        <v>158</v>
      </c>
      <c r="B338" s="5">
        <v>45217</v>
      </c>
      <c r="C338" s="3">
        <v>0.625</v>
      </c>
      <c r="D338" s="5">
        <v>45217</v>
      </c>
      <c r="E338" s="3">
        <v>0.75</v>
      </c>
      <c r="F338" t="b">
        <v>0</v>
      </c>
      <c r="G338" s="3" t="s">
        <v>159</v>
      </c>
      <c r="H338" s="3"/>
      <c r="I338" t="b">
        <v>0</v>
      </c>
    </row>
    <row r="339" spans="1:9" ht="15" hidden="1" customHeight="1" x14ac:dyDescent="0.2">
      <c r="A339" t="s">
        <v>158</v>
      </c>
      <c r="B339" s="5">
        <v>45222</v>
      </c>
      <c r="C339" s="3">
        <v>0.58333333333333337</v>
      </c>
      <c r="D339" s="5">
        <v>45222</v>
      </c>
      <c r="E339" s="3">
        <v>0.625</v>
      </c>
      <c r="F339" t="b">
        <v>0</v>
      </c>
      <c r="G339" s="3" t="s">
        <v>159</v>
      </c>
      <c r="H339" s="3" t="s">
        <v>127</v>
      </c>
      <c r="I339" t="b">
        <v>0</v>
      </c>
    </row>
    <row r="340" spans="1:9" ht="15" hidden="1" customHeight="1" x14ac:dyDescent="0.2">
      <c r="A340" t="s">
        <v>158</v>
      </c>
      <c r="B340" s="5">
        <v>45224</v>
      </c>
      <c r="C340" s="3">
        <v>0.625</v>
      </c>
      <c r="D340" s="5">
        <v>45224</v>
      </c>
      <c r="E340" s="3">
        <v>0.75</v>
      </c>
      <c r="F340" t="b">
        <v>0</v>
      </c>
      <c r="G340" s="3" t="s">
        <v>159</v>
      </c>
      <c r="H340" s="3"/>
      <c r="I340" t="b">
        <v>0</v>
      </c>
    </row>
    <row r="341" spans="1:9" ht="15" hidden="1" customHeight="1" x14ac:dyDescent="0.2">
      <c r="A341" t="s">
        <v>158</v>
      </c>
      <c r="B341" s="5">
        <v>45229</v>
      </c>
      <c r="C341" s="3">
        <v>0.58333333333333337</v>
      </c>
      <c r="D341" s="5">
        <v>45229</v>
      </c>
      <c r="E341" s="3">
        <v>0.625</v>
      </c>
      <c r="F341" t="b">
        <v>0</v>
      </c>
      <c r="G341" s="3" t="s">
        <v>159</v>
      </c>
      <c r="H341" s="3" t="s">
        <v>127</v>
      </c>
      <c r="I341" t="b">
        <v>0</v>
      </c>
    </row>
    <row r="342" spans="1:9" ht="15" hidden="1" customHeight="1" x14ac:dyDescent="0.2">
      <c r="A342" t="s">
        <v>158</v>
      </c>
      <c r="B342" s="5">
        <v>45231</v>
      </c>
      <c r="C342" s="3">
        <v>0.625</v>
      </c>
      <c r="D342" s="5">
        <v>45231</v>
      </c>
      <c r="E342" s="3">
        <v>0.75</v>
      </c>
      <c r="F342" t="b">
        <v>0</v>
      </c>
      <c r="G342" s="3" t="s">
        <v>159</v>
      </c>
      <c r="H342" s="3"/>
      <c r="I342" t="b">
        <v>0</v>
      </c>
    </row>
    <row r="343" spans="1:9" ht="15" hidden="1" customHeight="1" x14ac:dyDescent="0.2">
      <c r="A343" t="s">
        <v>158</v>
      </c>
      <c r="B343" s="5">
        <v>45236</v>
      </c>
      <c r="C343" s="3">
        <v>0.58333333333333337</v>
      </c>
      <c r="D343" s="5">
        <v>45236</v>
      </c>
      <c r="E343" s="3">
        <v>0.625</v>
      </c>
      <c r="F343" t="b">
        <v>0</v>
      </c>
      <c r="G343" s="3" t="s">
        <v>159</v>
      </c>
      <c r="H343" s="3" t="s">
        <v>127</v>
      </c>
      <c r="I343" t="b">
        <v>0</v>
      </c>
    </row>
    <row r="344" spans="1:9" ht="15" hidden="1" customHeight="1" x14ac:dyDescent="0.2">
      <c r="A344" t="s">
        <v>158</v>
      </c>
      <c r="B344" s="5">
        <v>45238</v>
      </c>
      <c r="C344" s="3">
        <v>0.625</v>
      </c>
      <c r="D344" s="5">
        <v>45238</v>
      </c>
      <c r="E344" s="3">
        <v>0.75</v>
      </c>
      <c r="F344" t="b">
        <v>0</v>
      </c>
      <c r="G344" s="3" t="s">
        <v>159</v>
      </c>
      <c r="H344" s="3"/>
      <c r="I344" t="b">
        <v>0</v>
      </c>
    </row>
    <row r="345" spans="1:9" ht="15" hidden="1" customHeight="1" x14ac:dyDescent="0.2">
      <c r="A345" t="s">
        <v>162</v>
      </c>
      <c r="B345" s="5">
        <v>45195</v>
      </c>
      <c r="C345" s="3">
        <v>0.625</v>
      </c>
      <c r="D345" s="5">
        <v>45195</v>
      </c>
      <c r="E345" s="3">
        <v>0.66666666666666663</v>
      </c>
      <c r="F345" t="b">
        <v>0</v>
      </c>
      <c r="G345" s="4" t="s">
        <v>163</v>
      </c>
      <c r="H345" t="s">
        <v>244</v>
      </c>
      <c r="I345" t="b">
        <v>0</v>
      </c>
    </row>
    <row r="346" spans="1:9" ht="15" hidden="1" customHeight="1" x14ac:dyDescent="0.2">
      <c r="A346" t="s">
        <v>162</v>
      </c>
      <c r="B346" s="5">
        <v>45196</v>
      </c>
      <c r="C346" s="3">
        <v>0.58333333333333337</v>
      </c>
      <c r="D346" s="5">
        <v>45196</v>
      </c>
      <c r="E346" s="3">
        <v>0.625</v>
      </c>
      <c r="F346" t="b">
        <v>0</v>
      </c>
      <c r="G346" s="4" t="s">
        <v>163</v>
      </c>
      <c r="H346" t="s">
        <v>244</v>
      </c>
      <c r="I346" t="b">
        <v>0</v>
      </c>
    </row>
    <row r="347" spans="1:9" ht="15" hidden="1" customHeight="1" x14ac:dyDescent="0.2">
      <c r="A347" t="s">
        <v>162</v>
      </c>
      <c r="B347" s="5">
        <v>45197</v>
      </c>
      <c r="C347" s="3">
        <v>0.70833333333333337</v>
      </c>
      <c r="D347" s="5">
        <v>45197</v>
      </c>
      <c r="E347" s="3">
        <v>0.75</v>
      </c>
      <c r="F347" t="b">
        <v>0</v>
      </c>
      <c r="G347" s="4" t="s">
        <v>163</v>
      </c>
      <c r="H347" t="s">
        <v>244</v>
      </c>
      <c r="I347" t="b">
        <v>0</v>
      </c>
    </row>
    <row r="348" spans="1:9" ht="15" hidden="1" customHeight="1" x14ac:dyDescent="0.2">
      <c r="A348" s="5" t="s">
        <v>162</v>
      </c>
      <c r="B348" s="5">
        <v>45202</v>
      </c>
      <c r="C348" s="3">
        <v>0.625</v>
      </c>
      <c r="D348" s="5">
        <v>45202</v>
      </c>
      <c r="E348" s="3">
        <v>0.66666666666666663</v>
      </c>
      <c r="F348" t="b">
        <v>0</v>
      </c>
      <c r="G348" s="5" t="s">
        <v>163</v>
      </c>
      <c r="H348" t="s">
        <v>244</v>
      </c>
      <c r="I348" t="b">
        <v>0</v>
      </c>
    </row>
    <row r="349" spans="1:9" ht="15" hidden="1" customHeight="1" x14ac:dyDescent="0.2">
      <c r="A349" s="5" t="s">
        <v>162</v>
      </c>
      <c r="B349" s="5">
        <v>45203</v>
      </c>
      <c r="C349" s="3">
        <v>0.58333333333333337</v>
      </c>
      <c r="D349" s="5">
        <v>45203</v>
      </c>
      <c r="E349" s="3">
        <v>0.625</v>
      </c>
      <c r="F349" t="b">
        <v>0</v>
      </c>
      <c r="G349" s="5" t="s">
        <v>163</v>
      </c>
      <c r="H349" t="s">
        <v>244</v>
      </c>
      <c r="I349" t="b">
        <v>0</v>
      </c>
    </row>
    <row r="350" spans="1:9" ht="15" hidden="1" customHeight="1" x14ac:dyDescent="0.2">
      <c r="A350" s="5" t="s">
        <v>162</v>
      </c>
      <c r="B350" s="5">
        <v>45204</v>
      </c>
      <c r="C350" s="3">
        <v>0.70833333333333337</v>
      </c>
      <c r="D350" s="5">
        <v>45204</v>
      </c>
      <c r="E350" s="3">
        <v>0.75</v>
      </c>
      <c r="F350" t="b">
        <v>0</v>
      </c>
      <c r="G350" s="5" t="s">
        <v>163</v>
      </c>
      <c r="H350" t="s">
        <v>244</v>
      </c>
      <c r="I350" t="b">
        <v>0</v>
      </c>
    </row>
    <row r="351" spans="1:9" ht="15" hidden="1" customHeight="1" x14ac:dyDescent="0.2">
      <c r="A351" s="5" t="s">
        <v>162</v>
      </c>
      <c r="B351" s="5">
        <v>45209</v>
      </c>
      <c r="C351" s="3">
        <v>0.625</v>
      </c>
      <c r="D351" s="5">
        <v>45209</v>
      </c>
      <c r="E351" s="3">
        <v>0.66666666666666663</v>
      </c>
      <c r="F351" t="b">
        <v>0</v>
      </c>
      <c r="G351" s="5" t="s">
        <v>163</v>
      </c>
      <c r="H351" t="s">
        <v>244</v>
      </c>
      <c r="I351" t="b">
        <v>0</v>
      </c>
    </row>
    <row r="352" spans="1:9" ht="15" hidden="1" customHeight="1" x14ac:dyDescent="0.2">
      <c r="A352" s="5" t="s">
        <v>162</v>
      </c>
      <c r="B352" s="5">
        <v>45210</v>
      </c>
      <c r="C352" s="3">
        <v>0.58333333333333337</v>
      </c>
      <c r="D352" s="5">
        <v>45210</v>
      </c>
      <c r="E352" s="3">
        <v>0.625</v>
      </c>
      <c r="F352" t="b">
        <v>0</v>
      </c>
      <c r="G352" s="5" t="s">
        <v>163</v>
      </c>
      <c r="H352" t="s">
        <v>244</v>
      </c>
      <c r="I352" t="b">
        <v>0</v>
      </c>
    </row>
    <row r="353" spans="1:9" ht="15" hidden="1" customHeight="1" x14ac:dyDescent="0.2">
      <c r="A353" s="5" t="s">
        <v>162</v>
      </c>
      <c r="B353" s="5">
        <v>45211</v>
      </c>
      <c r="C353" s="3">
        <v>0.70833333333333337</v>
      </c>
      <c r="D353" s="5">
        <v>45211</v>
      </c>
      <c r="E353" s="3">
        <v>0.75</v>
      </c>
      <c r="F353" t="b">
        <v>0</v>
      </c>
      <c r="G353" s="5" t="s">
        <v>163</v>
      </c>
      <c r="H353" t="s">
        <v>244</v>
      </c>
      <c r="I353" t="b">
        <v>0</v>
      </c>
    </row>
    <row r="354" spans="1:9" ht="15" hidden="1" customHeight="1" x14ac:dyDescent="0.2">
      <c r="A354" s="5" t="s">
        <v>162</v>
      </c>
      <c r="B354" s="5">
        <v>45216</v>
      </c>
      <c r="C354" s="3">
        <v>0.625</v>
      </c>
      <c r="D354" s="5">
        <v>45216</v>
      </c>
      <c r="E354" s="3">
        <v>0.66666666666666663</v>
      </c>
      <c r="F354" t="b">
        <v>0</v>
      </c>
      <c r="G354" s="5" t="s">
        <v>163</v>
      </c>
      <c r="H354" t="s">
        <v>244</v>
      </c>
      <c r="I354" t="b">
        <v>0</v>
      </c>
    </row>
    <row r="355" spans="1:9" ht="15" hidden="1" customHeight="1" x14ac:dyDescent="0.2">
      <c r="A355" s="5" t="s">
        <v>162</v>
      </c>
      <c r="B355" s="5">
        <v>45217</v>
      </c>
      <c r="C355" s="3">
        <v>0.58333333333333337</v>
      </c>
      <c r="D355" s="5">
        <v>45217</v>
      </c>
      <c r="E355" s="3">
        <v>0.625</v>
      </c>
      <c r="F355" t="b">
        <v>0</v>
      </c>
      <c r="G355" s="5" t="s">
        <v>163</v>
      </c>
      <c r="H355" t="s">
        <v>244</v>
      </c>
      <c r="I355" t="b">
        <v>0</v>
      </c>
    </row>
    <row r="356" spans="1:9" ht="15" hidden="1" customHeight="1" x14ac:dyDescent="0.2">
      <c r="A356" s="5" t="s">
        <v>162</v>
      </c>
      <c r="B356" s="5">
        <v>45218</v>
      </c>
      <c r="C356" s="3">
        <v>0.70833333333333337</v>
      </c>
      <c r="D356" s="5">
        <v>45218</v>
      </c>
      <c r="E356" s="3">
        <v>0.75</v>
      </c>
      <c r="F356" t="b">
        <v>0</v>
      </c>
      <c r="G356" s="5" t="s">
        <v>163</v>
      </c>
      <c r="H356" t="s">
        <v>244</v>
      </c>
      <c r="I356" t="b">
        <v>0</v>
      </c>
    </row>
    <row r="357" spans="1:9" ht="15" hidden="1" customHeight="1" x14ac:dyDescent="0.2">
      <c r="A357" s="5" t="s">
        <v>162</v>
      </c>
      <c r="B357" s="5">
        <v>45223</v>
      </c>
      <c r="C357" s="3">
        <v>0.625</v>
      </c>
      <c r="D357" s="5">
        <v>45223</v>
      </c>
      <c r="E357" s="3">
        <v>0.66666666666666663</v>
      </c>
      <c r="F357" t="b">
        <v>0</v>
      </c>
      <c r="G357" s="5" t="s">
        <v>163</v>
      </c>
      <c r="H357" t="s">
        <v>244</v>
      </c>
      <c r="I357" t="b">
        <v>0</v>
      </c>
    </row>
    <row r="358" spans="1:9" ht="15" hidden="1" customHeight="1" x14ac:dyDescent="0.2">
      <c r="A358" s="5" t="s">
        <v>162</v>
      </c>
      <c r="B358" s="5">
        <v>45224</v>
      </c>
      <c r="C358" s="3">
        <v>0.58333333333333337</v>
      </c>
      <c r="D358" s="5">
        <v>45224</v>
      </c>
      <c r="E358" s="3">
        <v>0.625</v>
      </c>
      <c r="F358" t="b">
        <v>0</v>
      </c>
      <c r="G358" s="5" t="s">
        <v>163</v>
      </c>
      <c r="H358" t="s">
        <v>244</v>
      </c>
      <c r="I358" t="b">
        <v>0</v>
      </c>
    </row>
    <row r="359" spans="1:9" ht="15" hidden="1" customHeight="1" x14ac:dyDescent="0.2">
      <c r="A359" s="5" t="s">
        <v>162</v>
      </c>
      <c r="B359" s="5">
        <v>45225</v>
      </c>
      <c r="C359" s="3">
        <v>0.70833333333333337</v>
      </c>
      <c r="D359" s="5">
        <v>45225</v>
      </c>
      <c r="E359" s="3">
        <v>0.75</v>
      </c>
      <c r="F359" t="b">
        <v>0</v>
      </c>
      <c r="G359" s="5" t="s">
        <v>163</v>
      </c>
      <c r="H359" t="s">
        <v>244</v>
      </c>
      <c r="I359" t="b">
        <v>0</v>
      </c>
    </row>
    <row r="360" spans="1:9" ht="15" hidden="1" customHeight="1" x14ac:dyDescent="0.2">
      <c r="A360" s="5" t="s">
        <v>162</v>
      </c>
      <c r="B360" s="5">
        <v>45230</v>
      </c>
      <c r="C360" s="3">
        <v>0.625</v>
      </c>
      <c r="D360" s="5">
        <v>45230</v>
      </c>
      <c r="E360" s="3">
        <v>0.66666666666666663</v>
      </c>
      <c r="F360" t="b">
        <v>0</v>
      </c>
      <c r="G360" s="5" t="s">
        <v>163</v>
      </c>
      <c r="H360" t="s">
        <v>244</v>
      </c>
      <c r="I360" t="b">
        <v>0</v>
      </c>
    </row>
    <row r="361" spans="1:9" ht="15" hidden="1" customHeight="1" x14ac:dyDescent="0.2">
      <c r="A361" s="5" t="s">
        <v>162</v>
      </c>
      <c r="B361" s="5">
        <v>45231</v>
      </c>
      <c r="C361" s="3">
        <v>0.58333333333333337</v>
      </c>
      <c r="D361" s="5">
        <v>45231</v>
      </c>
      <c r="E361" s="3">
        <v>0.625</v>
      </c>
      <c r="F361" t="b">
        <v>0</v>
      </c>
      <c r="G361" s="5" t="s">
        <v>163</v>
      </c>
      <c r="H361" t="s">
        <v>244</v>
      </c>
      <c r="I361" t="b">
        <v>0</v>
      </c>
    </row>
    <row r="362" spans="1:9" ht="15" hidden="1" customHeight="1" x14ac:dyDescent="0.2">
      <c r="A362" s="5" t="s">
        <v>162</v>
      </c>
      <c r="B362" s="5">
        <v>45232</v>
      </c>
      <c r="C362" s="3">
        <v>0.70833333333333337</v>
      </c>
      <c r="D362" s="5">
        <v>45232</v>
      </c>
      <c r="E362" s="3">
        <v>0.75</v>
      </c>
      <c r="F362" t="b">
        <v>0</v>
      </c>
      <c r="G362" s="5" t="s">
        <v>163</v>
      </c>
      <c r="H362" t="s">
        <v>244</v>
      </c>
      <c r="I362" t="b">
        <v>0</v>
      </c>
    </row>
    <row r="363" spans="1:9" ht="15" hidden="1" customHeight="1" x14ac:dyDescent="0.2">
      <c r="A363" s="5" t="s">
        <v>162</v>
      </c>
      <c r="B363" s="5">
        <v>45237</v>
      </c>
      <c r="C363" s="3">
        <v>0.625</v>
      </c>
      <c r="D363" s="5">
        <v>45237</v>
      </c>
      <c r="E363" s="3">
        <v>0.66666666666666663</v>
      </c>
      <c r="F363" t="b">
        <v>0</v>
      </c>
      <c r="G363" s="5" t="s">
        <v>163</v>
      </c>
      <c r="H363" t="s">
        <v>244</v>
      </c>
      <c r="I363" t="b">
        <v>0</v>
      </c>
    </row>
    <row r="364" spans="1:9" ht="15" hidden="1" customHeight="1" x14ac:dyDescent="0.2">
      <c r="A364" s="5" t="s">
        <v>162</v>
      </c>
      <c r="B364" s="5">
        <v>45238</v>
      </c>
      <c r="C364" s="3">
        <v>0.58333333333333337</v>
      </c>
      <c r="D364" s="5">
        <v>45238</v>
      </c>
      <c r="E364" s="3">
        <v>0.625</v>
      </c>
      <c r="F364" t="b">
        <v>0</v>
      </c>
      <c r="G364" s="5" t="s">
        <v>163</v>
      </c>
      <c r="H364" t="s">
        <v>244</v>
      </c>
      <c r="I364" t="b">
        <v>0</v>
      </c>
    </row>
    <row r="365" spans="1:9" ht="15" hidden="1" customHeight="1" x14ac:dyDescent="0.2">
      <c r="A365" s="5" t="s">
        <v>162</v>
      </c>
      <c r="B365" s="5">
        <v>45239</v>
      </c>
      <c r="C365" s="3">
        <v>0.70833333333333337</v>
      </c>
      <c r="D365" s="5">
        <v>45239</v>
      </c>
      <c r="E365" s="3">
        <v>0.75</v>
      </c>
      <c r="F365" t="b">
        <v>0</v>
      </c>
      <c r="G365" s="5" t="s">
        <v>163</v>
      </c>
      <c r="H365" t="s">
        <v>244</v>
      </c>
      <c r="I365" t="b">
        <v>0</v>
      </c>
    </row>
    <row r="366" spans="1:9" ht="15" hidden="1" customHeight="1" x14ac:dyDescent="0.2">
      <c r="A366" t="s">
        <v>178</v>
      </c>
      <c r="B366" s="5">
        <v>45194</v>
      </c>
      <c r="C366" s="3">
        <v>0.39583333333333331</v>
      </c>
      <c r="D366" s="5">
        <v>45194</v>
      </c>
      <c r="E366" s="3">
        <v>0.52083333333333337</v>
      </c>
      <c r="F366" t="b">
        <v>0</v>
      </c>
      <c r="G366" s="4" t="s">
        <v>179</v>
      </c>
      <c r="I366" t="b">
        <v>0</v>
      </c>
    </row>
    <row r="367" spans="1:9" ht="15" hidden="1" customHeight="1" x14ac:dyDescent="0.2">
      <c r="A367" t="s">
        <v>160</v>
      </c>
      <c r="B367" s="5">
        <v>45196</v>
      </c>
      <c r="C367" s="3">
        <v>0.35416666666666669</v>
      </c>
      <c r="D367" s="5">
        <v>45196</v>
      </c>
      <c r="E367" s="3">
        <v>0.39583333333333331</v>
      </c>
      <c r="F367" t="b">
        <v>0</v>
      </c>
      <c r="G367" s="4" t="s">
        <v>161</v>
      </c>
      <c r="H367" t="s">
        <v>244</v>
      </c>
      <c r="I367" t="b">
        <v>0</v>
      </c>
    </row>
    <row r="368" spans="1:9" ht="15" hidden="1" customHeight="1" x14ac:dyDescent="0.2">
      <c r="A368" t="s">
        <v>160</v>
      </c>
      <c r="B368" s="5">
        <v>45198</v>
      </c>
      <c r="C368" s="3">
        <v>0.4375</v>
      </c>
      <c r="D368" s="5">
        <v>45198</v>
      </c>
      <c r="E368" s="3">
        <v>0.47916666666666669</v>
      </c>
      <c r="F368" t="b">
        <v>0</v>
      </c>
      <c r="G368" s="4" t="s">
        <v>161</v>
      </c>
      <c r="H368" t="s">
        <v>244</v>
      </c>
      <c r="I368" t="b">
        <v>0</v>
      </c>
    </row>
    <row r="369" spans="1:9" ht="15" hidden="1" customHeight="1" x14ac:dyDescent="0.2">
      <c r="A369" t="s">
        <v>160</v>
      </c>
      <c r="B369" s="5">
        <v>45201</v>
      </c>
      <c r="C369" s="3">
        <v>0.35416666666666669</v>
      </c>
      <c r="D369" s="5">
        <v>45201</v>
      </c>
      <c r="E369" s="3">
        <v>0.39583333333333331</v>
      </c>
      <c r="F369" t="b">
        <v>0</v>
      </c>
      <c r="G369" s="3" t="s">
        <v>161</v>
      </c>
      <c r="H369" t="s">
        <v>244</v>
      </c>
      <c r="I369" t="b">
        <v>0</v>
      </c>
    </row>
    <row r="370" spans="1:9" ht="15" hidden="1" customHeight="1" x14ac:dyDescent="0.2">
      <c r="A370" t="s">
        <v>160</v>
      </c>
      <c r="B370" s="5">
        <v>45203</v>
      </c>
      <c r="C370" s="3">
        <v>0.35416666666666669</v>
      </c>
      <c r="D370" s="5">
        <v>45203</v>
      </c>
      <c r="E370" s="3">
        <v>0.39583333333333331</v>
      </c>
      <c r="F370" t="b">
        <v>0</v>
      </c>
      <c r="G370" s="3" t="s">
        <v>161</v>
      </c>
      <c r="H370" t="s">
        <v>244</v>
      </c>
      <c r="I370" t="b">
        <v>0</v>
      </c>
    </row>
    <row r="371" spans="1:9" ht="15" hidden="1" customHeight="1" x14ac:dyDescent="0.2">
      <c r="A371" t="s">
        <v>160</v>
      </c>
      <c r="B371" s="5">
        <v>45205</v>
      </c>
      <c r="C371" s="3">
        <v>0.4375</v>
      </c>
      <c r="D371" s="5">
        <v>45205</v>
      </c>
      <c r="E371" s="3">
        <v>0.47916666666666669</v>
      </c>
      <c r="F371" t="b">
        <v>0</v>
      </c>
      <c r="G371" s="3" t="s">
        <v>161</v>
      </c>
      <c r="H371" t="s">
        <v>244</v>
      </c>
      <c r="I371" t="b">
        <v>0</v>
      </c>
    </row>
    <row r="372" spans="1:9" ht="15" hidden="1" customHeight="1" x14ac:dyDescent="0.2">
      <c r="A372" t="s">
        <v>160</v>
      </c>
      <c r="B372" s="5">
        <v>45208</v>
      </c>
      <c r="C372" s="3">
        <v>0.35416666666666669</v>
      </c>
      <c r="D372" s="5">
        <v>45208</v>
      </c>
      <c r="E372" s="3">
        <v>0.39583333333333331</v>
      </c>
      <c r="F372" t="b">
        <v>0</v>
      </c>
      <c r="G372" s="3" t="s">
        <v>161</v>
      </c>
      <c r="H372" t="s">
        <v>244</v>
      </c>
      <c r="I372" t="b">
        <v>0</v>
      </c>
    </row>
    <row r="373" spans="1:9" ht="15" hidden="1" customHeight="1" x14ac:dyDescent="0.2">
      <c r="A373" t="s">
        <v>160</v>
      </c>
      <c r="B373" s="5">
        <v>45210</v>
      </c>
      <c r="C373" s="3">
        <v>0.35416666666666669</v>
      </c>
      <c r="D373" s="5">
        <v>45210</v>
      </c>
      <c r="E373" s="3">
        <v>0.39583333333333331</v>
      </c>
      <c r="F373" t="b">
        <v>0</v>
      </c>
      <c r="G373" s="3" t="s">
        <v>161</v>
      </c>
      <c r="H373" t="s">
        <v>244</v>
      </c>
      <c r="I373" t="b">
        <v>0</v>
      </c>
    </row>
    <row r="374" spans="1:9" ht="15" hidden="1" customHeight="1" x14ac:dyDescent="0.2">
      <c r="A374" t="s">
        <v>160</v>
      </c>
      <c r="B374" s="5">
        <v>45212</v>
      </c>
      <c r="C374" s="3">
        <v>0.4375</v>
      </c>
      <c r="D374" s="5">
        <v>45212</v>
      </c>
      <c r="E374" s="3">
        <v>0.47916666666666669</v>
      </c>
      <c r="F374" t="b">
        <v>0</v>
      </c>
      <c r="G374" s="3" t="s">
        <v>161</v>
      </c>
      <c r="H374" t="s">
        <v>244</v>
      </c>
      <c r="I374" t="b">
        <v>0</v>
      </c>
    </row>
    <row r="375" spans="1:9" ht="15" hidden="1" customHeight="1" x14ac:dyDescent="0.2">
      <c r="A375" t="s">
        <v>160</v>
      </c>
      <c r="B375" s="5">
        <v>45215</v>
      </c>
      <c r="C375" s="3">
        <v>0.35416666666666669</v>
      </c>
      <c r="D375" s="5">
        <v>45215</v>
      </c>
      <c r="E375" s="3">
        <v>0.39583333333333331</v>
      </c>
      <c r="F375" t="b">
        <v>0</v>
      </c>
      <c r="G375" s="3" t="s">
        <v>161</v>
      </c>
      <c r="H375" t="s">
        <v>244</v>
      </c>
      <c r="I375" t="b">
        <v>0</v>
      </c>
    </row>
    <row r="376" spans="1:9" ht="15" hidden="1" customHeight="1" x14ac:dyDescent="0.2">
      <c r="A376" t="s">
        <v>160</v>
      </c>
      <c r="B376" s="5">
        <v>45217</v>
      </c>
      <c r="C376" s="3">
        <v>0.35416666666666669</v>
      </c>
      <c r="D376" s="5">
        <v>45217</v>
      </c>
      <c r="E376" s="3">
        <v>0.39583333333333331</v>
      </c>
      <c r="F376" t="b">
        <v>0</v>
      </c>
      <c r="G376" s="3" t="s">
        <v>161</v>
      </c>
      <c r="H376" t="s">
        <v>244</v>
      </c>
      <c r="I376" t="b">
        <v>0</v>
      </c>
    </row>
    <row r="377" spans="1:9" ht="15" hidden="1" customHeight="1" x14ac:dyDescent="0.2">
      <c r="A377" t="s">
        <v>160</v>
      </c>
      <c r="B377" s="5">
        <v>45219</v>
      </c>
      <c r="C377" s="3">
        <v>0.4375</v>
      </c>
      <c r="D377" s="5">
        <v>45219</v>
      </c>
      <c r="E377" s="3">
        <v>0.47916666666666669</v>
      </c>
      <c r="F377" t="b">
        <v>0</v>
      </c>
      <c r="G377" s="3" t="s">
        <v>161</v>
      </c>
      <c r="H377" t="s">
        <v>244</v>
      </c>
      <c r="I377" t="b">
        <v>0</v>
      </c>
    </row>
    <row r="378" spans="1:9" ht="15" hidden="1" customHeight="1" x14ac:dyDescent="0.2">
      <c r="A378" t="s">
        <v>160</v>
      </c>
      <c r="B378" s="5">
        <v>45222</v>
      </c>
      <c r="C378" s="3">
        <v>0.35416666666666669</v>
      </c>
      <c r="D378" s="5">
        <v>45222</v>
      </c>
      <c r="E378" s="3">
        <v>0.39583333333333331</v>
      </c>
      <c r="F378" t="b">
        <v>0</v>
      </c>
      <c r="G378" s="3" t="s">
        <v>161</v>
      </c>
      <c r="H378" t="s">
        <v>244</v>
      </c>
      <c r="I378" t="b">
        <v>0</v>
      </c>
    </row>
    <row r="379" spans="1:9" ht="15" hidden="1" customHeight="1" x14ac:dyDescent="0.2">
      <c r="A379" t="s">
        <v>160</v>
      </c>
      <c r="B379" s="5">
        <v>45224</v>
      </c>
      <c r="C379" s="3">
        <v>0.35416666666666669</v>
      </c>
      <c r="D379" s="5">
        <v>45224</v>
      </c>
      <c r="E379" s="3">
        <v>0.39583333333333331</v>
      </c>
      <c r="F379" t="b">
        <v>0</v>
      </c>
      <c r="G379" s="3" t="s">
        <v>161</v>
      </c>
      <c r="H379" t="s">
        <v>244</v>
      </c>
      <c r="I379" t="b">
        <v>0</v>
      </c>
    </row>
    <row r="380" spans="1:9" ht="15" hidden="1" customHeight="1" x14ac:dyDescent="0.2">
      <c r="A380" t="s">
        <v>160</v>
      </c>
      <c r="B380" s="5">
        <v>45226</v>
      </c>
      <c r="C380" s="3">
        <v>0.4375</v>
      </c>
      <c r="D380" s="5">
        <v>45226</v>
      </c>
      <c r="E380" s="3">
        <v>0.47916666666666669</v>
      </c>
      <c r="F380" t="b">
        <v>0</v>
      </c>
      <c r="G380" s="3" t="s">
        <v>161</v>
      </c>
      <c r="H380" t="s">
        <v>244</v>
      </c>
      <c r="I380" t="b">
        <v>0</v>
      </c>
    </row>
    <row r="381" spans="1:9" ht="15" hidden="1" customHeight="1" x14ac:dyDescent="0.2">
      <c r="A381" t="s">
        <v>160</v>
      </c>
      <c r="B381" s="5">
        <v>45229</v>
      </c>
      <c r="C381" s="3">
        <v>0.35416666666666669</v>
      </c>
      <c r="D381" s="5">
        <v>45229</v>
      </c>
      <c r="E381" s="3">
        <v>0.39583333333333331</v>
      </c>
      <c r="F381" t="b">
        <v>0</v>
      </c>
      <c r="G381" s="3" t="s">
        <v>161</v>
      </c>
      <c r="H381" t="s">
        <v>244</v>
      </c>
      <c r="I381" t="b">
        <v>0</v>
      </c>
    </row>
    <row r="382" spans="1:9" ht="15" hidden="1" customHeight="1" x14ac:dyDescent="0.2">
      <c r="A382" t="s">
        <v>160</v>
      </c>
      <c r="B382" s="5">
        <v>45231</v>
      </c>
      <c r="C382" s="3">
        <v>0.35416666666666669</v>
      </c>
      <c r="D382" s="5">
        <v>45231</v>
      </c>
      <c r="E382" s="3">
        <v>0.39583333333333331</v>
      </c>
      <c r="F382" t="b">
        <v>0</v>
      </c>
      <c r="G382" s="3" t="s">
        <v>161</v>
      </c>
      <c r="H382" t="s">
        <v>244</v>
      </c>
      <c r="I382" t="b">
        <v>0</v>
      </c>
    </row>
    <row r="383" spans="1:9" ht="15" hidden="1" customHeight="1" x14ac:dyDescent="0.2">
      <c r="A383" t="s">
        <v>160</v>
      </c>
      <c r="B383" s="5">
        <v>45233</v>
      </c>
      <c r="C383" s="3">
        <v>0.4375</v>
      </c>
      <c r="D383" s="5">
        <v>45233</v>
      </c>
      <c r="E383" s="3">
        <v>0.47916666666666669</v>
      </c>
      <c r="F383" t="b">
        <v>0</v>
      </c>
      <c r="G383" s="3" t="s">
        <v>161</v>
      </c>
      <c r="H383" t="s">
        <v>244</v>
      </c>
      <c r="I383" t="b">
        <v>0</v>
      </c>
    </row>
    <row r="384" spans="1:9" ht="15" hidden="1" customHeight="1" x14ac:dyDescent="0.2">
      <c r="A384" t="s">
        <v>160</v>
      </c>
      <c r="B384" s="5">
        <v>45236</v>
      </c>
      <c r="C384" s="3">
        <v>0.35416666666666669</v>
      </c>
      <c r="D384" s="5">
        <v>45236</v>
      </c>
      <c r="E384" s="3">
        <v>0.39583333333333331</v>
      </c>
      <c r="F384" t="b">
        <v>0</v>
      </c>
      <c r="G384" s="3" t="s">
        <v>161</v>
      </c>
      <c r="H384" t="s">
        <v>244</v>
      </c>
      <c r="I384" t="b">
        <v>0</v>
      </c>
    </row>
    <row r="385" spans="1:9" ht="15" hidden="1" customHeight="1" x14ac:dyDescent="0.2">
      <c r="A385" t="s">
        <v>160</v>
      </c>
      <c r="B385" s="5">
        <v>45238</v>
      </c>
      <c r="C385" s="3">
        <v>0.35416666666666669</v>
      </c>
      <c r="D385" s="5">
        <v>45238</v>
      </c>
      <c r="E385" s="3">
        <v>0.39583333333333331</v>
      </c>
      <c r="F385" t="b">
        <v>0</v>
      </c>
      <c r="G385" s="3" t="s">
        <v>161</v>
      </c>
      <c r="H385" t="s">
        <v>244</v>
      </c>
      <c r="I385" t="b">
        <v>0</v>
      </c>
    </row>
    <row r="386" spans="1:9" ht="15" hidden="1" customHeight="1" x14ac:dyDescent="0.2">
      <c r="A386" t="s">
        <v>160</v>
      </c>
      <c r="B386" s="5">
        <v>45240</v>
      </c>
      <c r="C386" s="3">
        <v>0.4375</v>
      </c>
      <c r="D386" s="5">
        <v>45240</v>
      </c>
      <c r="E386" s="3">
        <v>0.47916666666666669</v>
      </c>
      <c r="F386" t="b">
        <v>0</v>
      </c>
      <c r="G386" s="3" t="s">
        <v>161</v>
      </c>
      <c r="H386" t="s">
        <v>244</v>
      </c>
      <c r="I386" t="b">
        <v>0</v>
      </c>
    </row>
    <row r="387" spans="1:9" ht="15" hidden="1" customHeight="1" x14ac:dyDescent="0.2">
      <c r="A387" t="s">
        <v>144</v>
      </c>
      <c r="B387" s="5">
        <v>45194</v>
      </c>
      <c r="C387" s="3">
        <v>0.39583333333333331</v>
      </c>
      <c r="D387" s="5">
        <v>45194</v>
      </c>
      <c r="E387" s="3">
        <v>0.4375</v>
      </c>
      <c r="F387" t="b">
        <v>0</v>
      </c>
      <c r="G387" s="4" t="s">
        <v>145</v>
      </c>
      <c r="H387" t="s">
        <v>148</v>
      </c>
      <c r="I387" t="b">
        <v>0</v>
      </c>
    </row>
    <row r="388" spans="1:9" ht="15" hidden="1" customHeight="1" x14ac:dyDescent="0.2">
      <c r="A388" t="s">
        <v>164</v>
      </c>
      <c r="B388" s="5">
        <v>45201</v>
      </c>
      <c r="C388" s="3">
        <v>0.41666666666666669</v>
      </c>
      <c r="D388" s="5">
        <v>45201</v>
      </c>
      <c r="E388" s="3">
        <v>0.54166666666666663</v>
      </c>
      <c r="F388" t="b">
        <v>0</v>
      </c>
      <c r="G388" s="4" t="s">
        <v>165</v>
      </c>
      <c r="I388" t="b">
        <v>0</v>
      </c>
    </row>
    <row r="389" spans="1:9" ht="15" hidden="1" customHeight="1" x14ac:dyDescent="0.2">
      <c r="A389" t="s">
        <v>164</v>
      </c>
      <c r="B389" s="5">
        <v>45208</v>
      </c>
      <c r="C389" s="3">
        <v>0.41666666666666669</v>
      </c>
      <c r="D389" s="5">
        <v>45208</v>
      </c>
      <c r="E389" s="3">
        <v>0.54166666666666663</v>
      </c>
      <c r="F389" t="b">
        <v>0</v>
      </c>
      <c r="G389" s="4" t="s">
        <v>165</v>
      </c>
      <c r="I389" t="b">
        <v>0</v>
      </c>
    </row>
    <row r="390" spans="1:9" ht="15" hidden="1" customHeight="1" x14ac:dyDescent="0.2">
      <c r="A390" t="s">
        <v>164</v>
      </c>
      <c r="B390" s="5">
        <v>45215</v>
      </c>
      <c r="C390" s="3">
        <v>0.41666666666666669</v>
      </c>
      <c r="D390" s="5">
        <v>45215</v>
      </c>
      <c r="E390" s="3">
        <v>0.54166666666666663</v>
      </c>
      <c r="F390" t="b">
        <v>0</v>
      </c>
      <c r="G390" s="4" t="s">
        <v>165</v>
      </c>
      <c r="I390" t="b">
        <v>0</v>
      </c>
    </row>
    <row r="391" spans="1:9" ht="15" hidden="1" customHeight="1" x14ac:dyDescent="0.2">
      <c r="A391" t="s">
        <v>164</v>
      </c>
      <c r="B391" s="5">
        <v>45222</v>
      </c>
      <c r="C391" s="3">
        <v>0.41666666666666669</v>
      </c>
      <c r="D391" s="5">
        <v>45222</v>
      </c>
      <c r="E391" s="3">
        <v>0.54166666666666663</v>
      </c>
      <c r="F391" t="b">
        <v>0</v>
      </c>
      <c r="G391" s="4" t="s">
        <v>165</v>
      </c>
      <c r="I391" t="b">
        <v>0</v>
      </c>
    </row>
    <row r="392" spans="1:9" ht="15" hidden="1" customHeight="1" x14ac:dyDescent="0.2">
      <c r="A392" t="s">
        <v>164</v>
      </c>
      <c r="B392" s="5">
        <v>45229</v>
      </c>
      <c r="C392" s="3">
        <v>0.41666666666666669</v>
      </c>
      <c r="D392" s="5">
        <v>45229</v>
      </c>
      <c r="E392" s="3">
        <v>0.54166666666666663</v>
      </c>
      <c r="F392" t="b">
        <v>0</v>
      </c>
      <c r="G392" s="4" t="s">
        <v>165</v>
      </c>
      <c r="I392" t="b">
        <v>0</v>
      </c>
    </row>
    <row r="393" spans="1:9" ht="15" hidden="1" customHeight="1" x14ac:dyDescent="0.2">
      <c r="A393" t="s">
        <v>164</v>
      </c>
      <c r="B393" s="5">
        <v>45236</v>
      </c>
      <c r="C393" s="3">
        <v>0.41666666666666669</v>
      </c>
      <c r="D393" s="5">
        <v>45236</v>
      </c>
      <c r="E393" s="3">
        <v>0.54166666666666663</v>
      </c>
      <c r="F393" t="b">
        <v>0</v>
      </c>
      <c r="G393" s="4" t="s">
        <v>165</v>
      </c>
      <c r="I393" t="b">
        <v>0</v>
      </c>
    </row>
    <row r="394" spans="1:9" ht="15" hidden="1" customHeight="1" x14ac:dyDescent="0.2">
      <c r="A394" t="s">
        <v>166</v>
      </c>
      <c r="B394" s="5">
        <v>45196</v>
      </c>
      <c r="C394" s="3">
        <v>0.41666666666666669</v>
      </c>
      <c r="D394" s="5">
        <v>45196</v>
      </c>
      <c r="E394" s="3">
        <v>0.54166666666666663</v>
      </c>
      <c r="F394" t="b">
        <v>0</v>
      </c>
      <c r="G394" s="4" t="s">
        <v>167</v>
      </c>
      <c r="I394" t="b">
        <v>0</v>
      </c>
    </row>
    <row r="395" spans="1:9" ht="15" hidden="1" customHeight="1" x14ac:dyDescent="0.2">
      <c r="A395" t="s">
        <v>166</v>
      </c>
      <c r="B395" s="5">
        <v>45203</v>
      </c>
      <c r="C395" s="3">
        <v>0.41666666666666669</v>
      </c>
      <c r="D395" s="5">
        <v>45203</v>
      </c>
      <c r="E395" s="3">
        <v>0.54166666666666663</v>
      </c>
      <c r="F395" t="b">
        <v>0</v>
      </c>
      <c r="G395" s="4" t="s">
        <v>167</v>
      </c>
      <c r="I395" t="b">
        <v>0</v>
      </c>
    </row>
    <row r="396" spans="1:9" ht="15" hidden="1" customHeight="1" x14ac:dyDescent="0.2">
      <c r="A396" t="s">
        <v>166</v>
      </c>
      <c r="B396" s="5">
        <v>45210</v>
      </c>
      <c r="C396" s="3">
        <v>0.41666666666666669</v>
      </c>
      <c r="D396" s="5">
        <v>45210</v>
      </c>
      <c r="E396" s="3">
        <v>0.54166666666666663</v>
      </c>
      <c r="F396" t="b">
        <v>0</v>
      </c>
      <c r="G396" s="4" t="s">
        <v>167</v>
      </c>
      <c r="I396" t="b">
        <v>0</v>
      </c>
    </row>
    <row r="397" spans="1:9" ht="15" hidden="1" customHeight="1" x14ac:dyDescent="0.2">
      <c r="A397" t="s">
        <v>166</v>
      </c>
      <c r="B397" s="5">
        <v>45217</v>
      </c>
      <c r="C397" s="3">
        <v>0.41666666666666669</v>
      </c>
      <c r="D397" s="5">
        <v>45217</v>
      </c>
      <c r="E397" s="3">
        <v>0.54166666666666663</v>
      </c>
      <c r="F397" t="b">
        <v>0</v>
      </c>
      <c r="G397" s="4" t="s">
        <v>167</v>
      </c>
      <c r="I397" t="b">
        <v>0</v>
      </c>
    </row>
    <row r="398" spans="1:9" ht="15" hidden="1" customHeight="1" x14ac:dyDescent="0.2">
      <c r="A398" t="s">
        <v>166</v>
      </c>
      <c r="B398" s="5">
        <v>45224</v>
      </c>
      <c r="C398" s="3">
        <v>0.41666666666666669</v>
      </c>
      <c r="D398" s="5">
        <v>45224</v>
      </c>
      <c r="E398" s="3">
        <v>0.54166666666666663</v>
      </c>
      <c r="F398" t="b">
        <v>0</v>
      </c>
      <c r="G398" s="4" t="s">
        <v>167</v>
      </c>
      <c r="I398" t="b">
        <v>0</v>
      </c>
    </row>
    <row r="399" spans="1:9" ht="15" hidden="1" customHeight="1" x14ac:dyDescent="0.2">
      <c r="A399" t="s">
        <v>166</v>
      </c>
      <c r="B399" s="5">
        <v>45231</v>
      </c>
      <c r="C399" s="3">
        <v>0.41666666666666669</v>
      </c>
      <c r="D399" s="5">
        <v>45231</v>
      </c>
      <c r="E399" s="3">
        <v>0.54166666666666663</v>
      </c>
      <c r="F399" t="b">
        <v>0</v>
      </c>
      <c r="G399" s="4" t="s">
        <v>167</v>
      </c>
      <c r="I399" t="b">
        <v>0</v>
      </c>
    </row>
    <row r="400" spans="1:9" ht="15" hidden="1" customHeight="1" x14ac:dyDescent="0.2">
      <c r="A400" t="s">
        <v>166</v>
      </c>
      <c r="B400" s="5">
        <v>45238</v>
      </c>
      <c r="C400" s="3">
        <v>0.41666666666666669</v>
      </c>
      <c r="D400" s="5">
        <v>45238</v>
      </c>
      <c r="E400" s="3">
        <v>0.54166666666666663</v>
      </c>
      <c r="F400" t="b">
        <v>0</v>
      </c>
      <c r="G400" s="4" t="s">
        <v>167</v>
      </c>
      <c r="I400" t="b">
        <v>0</v>
      </c>
    </row>
    <row r="401" spans="1:9" ht="15" hidden="1" customHeight="1" x14ac:dyDescent="0.2">
      <c r="A401" t="s">
        <v>218</v>
      </c>
      <c r="B401" s="5">
        <v>45194</v>
      </c>
      <c r="C401" s="3">
        <v>0.39583333333333331</v>
      </c>
      <c r="D401" s="5">
        <v>45194</v>
      </c>
      <c r="E401" s="3">
        <v>0.4375</v>
      </c>
      <c r="F401" t="b">
        <v>0</v>
      </c>
      <c r="G401" s="4" t="s">
        <v>219</v>
      </c>
      <c r="H401" t="s">
        <v>127</v>
      </c>
      <c r="I401" t="b">
        <v>0</v>
      </c>
    </row>
    <row r="402" spans="1:9" ht="15" hidden="1" customHeight="1" x14ac:dyDescent="0.2">
      <c r="A402" t="s">
        <v>194</v>
      </c>
      <c r="B402" s="5">
        <v>45195</v>
      </c>
      <c r="C402" s="3">
        <v>0.4375</v>
      </c>
      <c r="D402" s="5">
        <v>45195</v>
      </c>
      <c r="E402" s="3">
        <v>0.5</v>
      </c>
      <c r="F402" t="b">
        <v>0</v>
      </c>
      <c r="G402" s="4" t="s">
        <v>195</v>
      </c>
      <c r="H402" t="s">
        <v>155</v>
      </c>
      <c r="I402" t="b">
        <v>0</v>
      </c>
    </row>
    <row r="403" spans="1:9" ht="15" hidden="1" customHeight="1" x14ac:dyDescent="0.2">
      <c r="A403" t="s">
        <v>194</v>
      </c>
      <c r="B403" s="5">
        <v>45201</v>
      </c>
      <c r="C403" s="3">
        <v>0.4375</v>
      </c>
      <c r="D403" s="5">
        <v>45201</v>
      </c>
      <c r="E403" s="3">
        <v>0.5</v>
      </c>
      <c r="F403" t="b">
        <v>0</v>
      </c>
      <c r="G403" s="4" t="s">
        <v>195</v>
      </c>
      <c r="H403" t="s">
        <v>155</v>
      </c>
      <c r="I403" t="b">
        <v>0</v>
      </c>
    </row>
    <row r="404" spans="1:9" ht="15" hidden="1" customHeight="1" x14ac:dyDescent="0.2">
      <c r="A404" t="s">
        <v>194</v>
      </c>
      <c r="B404" s="5">
        <v>45202</v>
      </c>
      <c r="C404" s="3">
        <v>0.4375</v>
      </c>
      <c r="D404" s="5">
        <v>45202</v>
      </c>
      <c r="E404" s="3">
        <v>0.5</v>
      </c>
      <c r="F404" t="b">
        <v>0</v>
      </c>
      <c r="G404" s="4" t="s">
        <v>195</v>
      </c>
      <c r="H404" t="s">
        <v>155</v>
      </c>
      <c r="I404" t="b">
        <v>0</v>
      </c>
    </row>
    <row r="405" spans="1:9" ht="15" hidden="1" customHeight="1" x14ac:dyDescent="0.2">
      <c r="A405" t="s">
        <v>194</v>
      </c>
      <c r="B405" s="5">
        <v>45208</v>
      </c>
      <c r="C405" s="3">
        <v>0.4375</v>
      </c>
      <c r="D405" s="5">
        <v>45208</v>
      </c>
      <c r="E405" s="3">
        <v>0.5</v>
      </c>
      <c r="F405" t="b">
        <v>0</v>
      </c>
      <c r="G405" s="4" t="s">
        <v>195</v>
      </c>
      <c r="H405" t="s">
        <v>155</v>
      </c>
      <c r="I405" t="b">
        <v>0</v>
      </c>
    </row>
    <row r="406" spans="1:9" ht="15" hidden="1" customHeight="1" x14ac:dyDescent="0.2">
      <c r="A406" t="s">
        <v>194</v>
      </c>
      <c r="B406" s="5">
        <v>45209</v>
      </c>
      <c r="C406" s="3">
        <v>0.4375</v>
      </c>
      <c r="D406" s="5">
        <v>45209</v>
      </c>
      <c r="E406" s="3">
        <v>0.5</v>
      </c>
      <c r="F406" t="b">
        <v>0</v>
      </c>
      <c r="G406" s="4" t="s">
        <v>195</v>
      </c>
      <c r="H406" t="s">
        <v>155</v>
      </c>
      <c r="I406" t="b">
        <v>0</v>
      </c>
    </row>
    <row r="407" spans="1:9" ht="15" hidden="1" customHeight="1" x14ac:dyDescent="0.2">
      <c r="A407" t="s">
        <v>194</v>
      </c>
      <c r="B407" s="5">
        <v>45215</v>
      </c>
      <c r="C407" s="3">
        <v>0.4375</v>
      </c>
      <c r="D407" s="5">
        <v>45215</v>
      </c>
      <c r="E407" s="3">
        <v>0.5</v>
      </c>
      <c r="F407" t="b">
        <v>0</v>
      </c>
      <c r="G407" s="4" t="s">
        <v>195</v>
      </c>
      <c r="H407" t="s">
        <v>155</v>
      </c>
      <c r="I407" t="b">
        <v>0</v>
      </c>
    </row>
    <row r="408" spans="1:9" ht="15" hidden="1" customHeight="1" x14ac:dyDescent="0.2">
      <c r="A408" t="s">
        <v>194</v>
      </c>
      <c r="B408" s="5">
        <v>45216</v>
      </c>
      <c r="C408" s="3">
        <v>0.4375</v>
      </c>
      <c r="D408" s="5">
        <v>45216</v>
      </c>
      <c r="E408" s="3">
        <v>0.5</v>
      </c>
      <c r="F408" t="b">
        <v>0</v>
      </c>
      <c r="G408" s="4" t="s">
        <v>195</v>
      </c>
      <c r="H408" t="s">
        <v>155</v>
      </c>
      <c r="I408" t="b">
        <v>0</v>
      </c>
    </row>
    <row r="409" spans="1:9" ht="15" hidden="1" customHeight="1" x14ac:dyDescent="0.2">
      <c r="A409" t="s">
        <v>194</v>
      </c>
      <c r="B409" s="5">
        <v>45222</v>
      </c>
      <c r="C409" s="3">
        <v>0.4375</v>
      </c>
      <c r="D409" s="5">
        <v>45222</v>
      </c>
      <c r="E409" s="3">
        <v>0.5</v>
      </c>
      <c r="F409" t="b">
        <v>0</v>
      </c>
      <c r="G409" s="4" t="s">
        <v>195</v>
      </c>
      <c r="H409" t="s">
        <v>155</v>
      </c>
      <c r="I409" t="b">
        <v>0</v>
      </c>
    </row>
    <row r="410" spans="1:9" ht="15" hidden="1" customHeight="1" x14ac:dyDescent="0.2">
      <c r="A410" t="s">
        <v>194</v>
      </c>
      <c r="B410" s="5">
        <v>45223</v>
      </c>
      <c r="C410" s="3">
        <v>0.4375</v>
      </c>
      <c r="D410" s="5">
        <v>45223</v>
      </c>
      <c r="E410" s="3">
        <v>0.5</v>
      </c>
      <c r="F410" t="b">
        <v>0</v>
      </c>
      <c r="G410" s="4" t="s">
        <v>195</v>
      </c>
      <c r="H410" t="s">
        <v>155</v>
      </c>
      <c r="I410" t="b">
        <v>0</v>
      </c>
    </row>
    <row r="411" spans="1:9" ht="15" hidden="1" customHeight="1" x14ac:dyDescent="0.2">
      <c r="A411" t="s">
        <v>194</v>
      </c>
      <c r="B411" s="5">
        <v>45229</v>
      </c>
      <c r="C411" s="3">
        <v>0.4375</v>
      </c>
      <c r="D411" s="5">
        <v>45229</v>
      </c>
      <c r="E411" s="3">
        <v>0.5</v>
      </c>
      <c r="F411" t="b">
        <v>0</v>
      </c>
      <c r="G411" s="4" t="s">
        <v>195</v>
      </c>
      <c r="H411" t="s">
        <v>155</v>
      </c>
      <c r="I411" t="b">
        <v>0</v>
      </c>
    </row>
    <row r="412" spans="1:9" ht="15" hidden="1" customHeight="1" x14ac:dyDescent="0.2">
      <c r="A412" t="s">
        <v>194</v>
      </c>
      <c r="B412" s="5">
        <v>45230</v>
      </c>
      <c r="C412" s="3">
        <v>0.4375</v>
      </c>
      <c r="D412" s="5">
        <v>45230</v>
      </c>
      <c r="E412" s="3">
        <v>0.5</v>
      </c>
      <c r="F412" t="b">
        <v>0</v>
      </c>
      <c r="G412" s="4" t="s">
        <v>195</v>
      </c>
      <c r="H412" t="s">
        <v>155</v>
      </c>
      <c r="I412" t="b">
        <v>0</v>
      </c>
    </row>
    <row r="413" spans="1:9" ht="15" hidden="1" customHeight="1" x14ac:dyDescent="0.2">
      <c r="A413" t="s">
        <v>194</v>
      </c>
      <c r="B413" s="5">
        <v>45236</v>
      </c>
      <c r="C413" s="3">
        <v>0.4375</v>
      </c>
      <c r="D413" s="5">
        <v>45236</v>
      </c>
      <c r="E413" s="3">
        <v>0.5</v>
      </c>
      <c r="F413" t="b">
        <v>0</v>
      </c>
      <c r="G413" s="4" t="s">
        <v>195</v>
      </c>
      <c r="H413" t="s">
        <v>155</v>
      </c>
      <c r="I413" t="b">
        <v>0</v>
      </c>
    </row>
    <row r="414" spans="1:9" ht="15" hidden="1" customHeight="1" x14ac:dyDescent="0.2">
      <c r="A414" t="s">
        <v>194</v>
      </c>
      <c r="B414" s="5">
        <v>45237</v>
      </c>
      <c r="C414" s="3">
        <v>0.4375</v>
      </c>
      <c r="D414" s="5">
        <v>45237</v>
      </c>
      <c r="E414" s="3">
        <v>0.5</v>
      </c>
      <c r="F414" t="b">
        <v>0</v>
      </c>
      <c r="G414" s="4" t="s">
        <v>195</v>
      </c>
      <c r="H414" t="s">
        <v>155</v>
      </c>
      <c r="I414" t="b">
        <v>0</v>
      </c>
    </row>
    <row r="415" spans="1:9" ht="15" hidden="1" customHeight="1" x14ac:dyDescent="0.2">
      <c r="A415" s="6" t="s">
        <v>252</v>
      </c>
      <c r="B415" s="5">
        <v>45195</v>
      </c>
      <c r="C415" s="3">
        <v>0.58333333333333337</v>
      </c>
      <c r="D415" s="5">
        <v>45195</v>
      </c>
      <c r="E415" s="3">
        <v>0.625</v>
      </c>
      <c r="F415" t="b">
        <v>0</v>
      </c>
      <c r="G415" s="7" t="s">
        <v>253</v>
      </c>
      <c r="H415" t="s">
        <v>244</v>
      </c>
      <c r="I415" t="b">
        <v>0</v>
      </c>
    </row>
    <row r="416" spans="1:9" ht="15" hidden="1" customHeight="1" x14ac:dyDescent="0.2">
      <c r="A416" s="6" t="s">
        <v>252</v>
      </c>
      <c r="B416" s="5">
        <v>45197</v>
      </c>
      <c r="C416" s="3">
        <v>0.625</v>
      </c>
      <c r="D416" s="5">
        <v>45197</v>
      </c>
      <c r="E416" s="3">
        <v>0.66666666666666663</v>
      </c>
      <c r="F416" t="b">
        <v>0</v>
      </c>
      <c r="G416" s="7" t="s">
        <v>253</v>
      </c>
      <c r="H416" t="s">
        <v>244</v>
      </c>
      <c r="I416" t="b">
        <v>0</v>
      </c>
    </row>
    <row r="417" spans="1:9" ht="15" hidden="1" customHeight="1" x14ac:dyDescent="0.2">
      <c r="A417" s="6" t="s">
        <v>252</v>
      </c>
      <c r="B417" s="5">
        <v>45198</v>
      </c>
      <c r="C417" s="3">
        <v>0.66666666666666663</v>
      </c>
      <c r="D417" s="5">
        <v>45198</v>
      </c>
      <c r="E417" s="3">
        <v>0.70833333333333326</v>
      </c>
      <c r="F417" t="b">
        <v>0</v>
      </c>
      <c r="G417" s="7" t="s">
        <v>253</v>
      </c>
      <c r="H417" t="s">
        <v>244</v>
      </c>
      <c r="I417" t="b">
        <v>0</v>
      </c>
    </row>
    <row r="418" spans="1:9" ht="15" hidden="1" customHeight="1" x14ac:dyDescent="0.2">
      <c r="A418" s="3" t="s">
        <v>252</v>
      </c>
      <c r="B418" s="5">
        <v>45202</v>
      </c>
      <c r="C418" s="3">
        <v>0.58333333333333337</v>
      </c>
      <c r="D418" s="5">
        <v>45202</v>
      </c>
      <c r="E418" s="3">
        <v>0.625</v>
      </c>
      <c r="F418" t="b">
        <v>0</v>
      </c>
      <c r="G418" s="3" t="s">
        <v>253</v>
      </c>
      <c r="H418" s="3" t="s">
        <v>244</v>
      </c>
      <c r="I418" t="b">
        <v>0</v>
      </c>
    </row>
    <row r="419" spans="1:9" ht="15" hidden="1" customHeight="1" x14ac:dyDescent="0.2">
      <c r="A419" s="3" t="s">
        <v>252</v>
      </c>
      <c r="B419" s="5">
        <v>45204</v>
      </c>
      <c r="C419" s="3">
        <v>0.625</v>
      </c>
      <c r="D419" s="5">
        <v>45204</v>
      </c>
      <c r="E419" s="3">
        <v>0.66666666666666663</v>
      </c>
      <c r="F419" t="b">
        <v>0</v>
      </c>
      <c r="G419" s="3" t="s">
        <v>253</v>
      </c>
      <c r="H419" s="3" t="s">
        <v>244</v>
      </c>
      <c r="I419" t="b">
        <v>0</v>
      </c>
    </row>
    <row r="420" spans="1:9" ht="15" hidden="1" customHeight="1" x14ac:dyDescent="0.2">
      <c r="A420" s="3" t="s">
        <v>252</v>
      </c>
      <c r="B420" s="5">
        <v>45205</v>
      </c>
      <c r="C420" s="3">
        <v>0.66666666666666663</v>
      </c>
      <c r="D420" s="5">
        <v>45205</v>
      </c>
      <c r="E420" s="3">
        <v>0.70833333333333326</v>
      </c>
      <c r="F420" t="b">
        <v>0</v>
      </c>
      <c r="G420" s="3" t="s">
        <v>253</v>
      </c>
      <c r="H420" s="3" t="s">
        <v>244</v>
      </c>
      <c r="I420" t="b">
        <v>0</v>
      </c>
    </row>
    <row r="421" spans="1:9" ht="15" hidden="1" customHeight="1" x14ac:dyDescent="0.2">
      <c r="A421" s="3" t="s">
        <v>252</v>
      </c>
      <c r="B421" s="5">
        <v>45209</v>
      </c>
      <c r="C421" s="3">
        <v>0.58333333333333337</v>
      </c>
      <c r="D421" s="5">
        <v>45209</v>
      </c>
      <c r="E421" s="3">
        <v>0.625</v>
      </c>
      <c r="F421" t="b">
        <v>0</v>
      </c>
      <c r="G421" s="3" t="s">
        <v>253</v>
      </c>
      <c r="H421" s="3" t="s">
        <v>244</v>
      </c>
      <c r="I421" t="b">
        <v>0</v>
      </c>
    </row>
    <row r="422" spans="1:9" ht="15" hidden="1" customHeight="1" x14ac:dyDescent="0.2">
      <c r="A422" s="3" t="s">
        <v>252</v>
      </c>
      <c r="B422" s="5">
        <v>45211</v>
      </c>
      <c r="C422" s="3">
        <v>0.625</v>
      </c>
      <c r="D422" s="5">
        <v>45211</v>
      </c>
      <c r="E422" s="3">
        <v>0.66666666666666663</v>
      </c>
      <c r="F422" t="b">
        <v>0</v>
      </c>
      <c r="G422" s="3" t="s">
        <v>253</v>
      </c>
      <c r="H422" s="3" t="s">
        <v>244</v>
      </c>
      <c r="I422" t="b">
        <v>0</v>
      </c>
    </row>
    <row r="423" spans="1:9" ht="15" hidden="1" customHeight="1" x14ac:dyDescent="0.2">
      <c r="A423" s="3" t="s">
        <v>252</v>
      </c>
      <c r="B423" s="5">
        <v>45212</v>
      </c>
      <c r="C423" s="3">
        <v>0.66666666666666663</v>
      </c>
      <c r="D423" s="5">
        <v>45212</v>
      </c>
      <c r="E423" s="3">
        <v>0.70833333333333326</v>
      </c>
      <c r="F423" t="b">
        <v>0</v>
      </c>
      <c r="G423" s="3" t="s">
        <v>253</v>
      </c>
      <c r="H423" s="3" t="s">
        <v>244</v>
      </c>
      <c r="I423" t="b">
        <v>0</v>
      </c>
    </row>
    <row r="424" spans="1:9" ht="15" hidden="1" customHeight="1" x14ac:dyDescent="0.2">
      <c r="A424" s="3" t="s">
        <v>252</v>
      </c>
      <c r="B424" s="5">
        <v>45216</v>
      </c>
      <c r="C424" s="3">
        <v>0.58333333333333337</v>
      </c>
      <c r="D424" s="5">
        <v>45216</v>
      </c>
      <c r="E424" s="3">
        <v>0.625</v>
      </c>
      <c r="F424" t="b">
        <v>0</v>
      </c>
      <c r="G424" s="3" t="s">
        <v>253</v>
      </c>
      <c r="H424" s="3" t="s">
        <v>244</v>
      </c>
      <c r="I424" t="b">
        <v>0</v>
      </c>
    </row>
    <row r="425" spans="1:9" ht="15" hidden="1" customHeight="1" x14ac:dyDescent="0.2">
      <c r="A425" s="3" t="s">
        <v>252</v>
      </c>
      <c r="B425" s="5">
        <v>45218</v>
      </c>
      <c r="C425" s="3">
        <v>0.625</v>
      </c>
      <c r="D425" s="5">
        <v>45218</v>
      </c>
      <c r="E425" s="3">
        <v>0.66666666666666663</v>
      </c>
      <c r="F425" t="b">
        <v>0</v>
      </c>
      <c r="G425" s="3" t="s">
        <v>253</v>
      </c>
      <c r="H425" s="3" t="s">
        <v>244</v>
      </c>
      <c r="I425" t="b">
        <v>0</v>
      </c>
    </row>
    <row r="426" spans="1:9" ht="15" hidden="1" customHeight="1" x14ac:dyDescent="0.2">
      <c r="A426" s="3" t="s">
        <v>252</v>
      </c>
      <c r="B426" s="5">
        <v>45219</v>
      </c>
      <c r="C426" s="3">
        <v>0.66666666666666663</v>
      </c>
      <c r="D426" s="5">
        <v>45219</v>
      </c>
      <c r="E426" s="3">
        <v>0.70833333333333326</v>
      </c>
      <c r="F426" t="b">
        <v>0</v>
      </c>
      <c r="G426" s="3" t="s">
        <v>253</v>
      </c>
      <c r="H426" s="3" t="s">
        <v>244</v>
      </c>
      <c r="I426" t="b">
        <v>0</v>
      </c>
    </row>
    <row r="427" spans="1:9" ht="15" hidden="1" customHeight="1" x14ac:dyDescent="0.2">
      <c r="A427" s="3" t="s">
        <v>252</v>
      </c>
      <c r="B427" s="5">
        <v>45223</v>
      </c>
      <c r="C427" s="3">
        <v>0.58333333333333337</v>
      </c>
      <c r="D427" s="5">
        <v>45223</v>
      </c>
      <c r="E427" s="3">
        <v>0.625</v>
      </c>
      <c r="F427" t="b">
        <v>0</v>
      </c>
      <c r="G427" s="3" t="s">
        <v>253</v>
      </c>
      <c r="H427" s="3" t="s">
        <v>244</v>
      </c>
      <c r="I427" t="b">
        <v>0</v>
      </c>
    </row>
    <row r="428" spans="1:9" ht="15" hidden="1" customHeight="1" x14ac:dyDescent="0.2">
      <c r="A428" s="3" t="s">
        <v>252</v>
      </c>
      <c r="B428" s="5">
        <v>45225</v>
      </c>
      <c r="C428" s="3">
        <v>0.625</v>
      </c>
      <c r="D428" s="5">
        <v>45225</v>
      </c>
      <c r="E428" s="3">
        <v>0.66666666666666663</v>
      </c>
      <c r="F428" t="b">
        <v>0</v>
      </c>
      <c r="G428" s="3" t="s">
        <v>253</v>
      </c>
      <c r="H428" s="3" t="s">
        <v>244</v>
      </c>
      <c r="I428" t="b">
        <v>0</v>
      </c>
    </row>
    <row r="429" spans="1:9" ht="15" hidden="1" customHeight="1" x14ac:dyDescent="0.2">
      <c r="A429" s="3" t="s">
        <v>252</v>
      </c>
      <c r="B429" s="5">
        <v>45226</v>
      </c>
      <c r="C429" s="3">
        <v>0.66666666666666663</v>
      </c>
      <c r="D429" s="5">
        <v>45226</v>
      </c>
      <c r="E429" s="3">
        <v>0.70833333333333326</v>
      </c>
      <c r="F429" t="b">
        <v>0</v>
      </c>
      <c r="G429" s="3" t="s">
        <v>253</v>
      </c>
      <c r="H429" s="3" t="s">
        <v>244</v>
      </c>
      <c r="I429" t="b">
        <v>0</v>
      </c>
    </row>
    <row r="430" spans="1:9" ht="15" hidden="1" customHeight="1" x14ac:dyDescent="0.2">
      <c r="A430" s="3" t="s">
        <v>252</v>
      </c>
      <c r="B430" s="5">
        <v>45230</v>
      </c>
      <c r="C430" s="3">
        <v>0.58333333333333337</v>
      </c>
      <c r="D430" s="5">
        <v>45230</v>
      </c>
      <c r="E430" s="3">
        <v>0.625</v>
      </c>
      <c r="F430" t="b">
        <v>0</v>
      </c>
      <c r="G430" s="3" t="s">
        <v>253</v>
      </c>
      <c r="H430" s="3" t="s">
        <v>244</v>
      </c>
      <c r="I430" t="b">
        <v>0</v>
      </c>
    </row>
    <row r="431" spans="1:9" ht="15" hidden="1" customHeight="1" x14ac:dyDescent="0.2">
      <c r="A431" s="3" t="s">
        <v>252</v>
      </c>
      <c r="B431" s="5">
        <v>45232</v>
      </c>
      <c r="C431" s="3">
        <v>0.625</v>
      </c>
      <c r="D431" s="5">
        <v>45232</v>
      </c>
      <c r="E431" s="3">
        <v>0.66666666666666663</v>
      </c>
      <c r="F431" t="b">
        <v>0</v>
      </c>
      <c r="G431" s="3" t="s">
        <v>253</v>
      </c>
      <c r="H431" s="3" t="s">
        <v>244</v>
      </c>
      <c r="I431" t="b">
        <v>0</v>
      </c>
    </row>
    <row r="432" spans="1:9" ht="15" hidden="1" customHeight="1" x14ac:dyDescent="0.2">
      <c r="A432" s="3" t="s">
        <v>252</v>
      </c>
      <c r="B432" s="5">
        <v>45233</v>
      </c>
      <c r="C432" s="3">
        <v>0.66666666666666663</v>
      </c>
      <c r="D432" s="5">
        <v>45233</v>
      </c>
      <c r="E432" s="3">
        <v>0.70833333333333326</v>
      </c>
      <c r="F432" t="b">
        <v>0</v>
      </c>
      <c r="G432" s="3" t="s">
        <v>253</v>
      </c>
      <c r="H432" s="3" t="s">
        <v>244</v>
      </c>
      <c r="I432" t="b">
        <v>0</v>
      </c>
    </row>
    <row r="433" spans="1:9" ht="15" hidden="1" customHeight="1" x14ac:dyDescent="0.2">
      <c r="A433" s="3" t="s">
        <v>252</v>
      </c>
      <c r="B433" s="5">
        <v>45237</v>
      </c>
      <c r="C433" s="3">
        <v>0.58333333333333337</v>
      </c>
      <c r="D433" s="5">
        <v>45237</v>
      </c>
      <c r="E433" s="3">
        <v>0.625</v>
      </c>
      <c r="F433" t="b">
        <v>0</v>
      </c>
      <c r="G433" s="3" t="s">
        <v>253</v>
      </c>
      <c r="H433" s="3" t="s">
        <v>244</v>
      </c>
      <c r="I433" t="b">
        <v>0</v>
      </c>
    </row>
    <row r="434" spans="1:9" ht="15" hidden="1" customHeight="1" x14ac:dyDescent="0.2">
      <c r="A434" s="3" t="s">
        <v>252</v>
      </c>
      <c r="B434" s="5">
        <v>45239</v>
      </c>
      <c r="C434" s="3">
        <v>0.625</v>
      </c>
      <c r="D434" s="5">
        <v>45239</v>
      </c>
      <c r="E434" s="3">
        <v>0.66666666666666663</v>
      </c>
      <c r="F434" t="b">
        <v>0</v>
      </c>
      <c r="G434" s="3" t="s">
        <v>253</v>
      </c>
      <c r="H434" s="3" t="s">
        <v>244</v>
      </c>
      <c r="I434" t="b">
        <v>0</v>
      </c>
    </row>
    <row r="435" spans="1:9" ht="15" hidden="1" customHeight="1" x14ac:dyDescent="0.2">
      <c r="A435" s="3" t="s">
        <v>252</v>
      </c>
      <c r="B435" s="5">
        <v>45240</v>
      </c>
      <c r="C435" s="3">
        <v>0.66666666666666663</v>
      </c>
      <c r="D435" s="5">
        <v>45240</v>
      </c>
      <c r="E435" s="3">
        <v>0.70833333333333326</v>
      </c>
      <c r="F435" t="b">
        <v>0</v>
      </c>
      <c r="G435" s="3" t="s">
        <v>253</v>
      </c>
      <c r="H435" s="3" t="s">
        <v>244</v>
      </c>
      <c r="I435" t="b">
        <v>0</v>
      </c>
    </row>
    <row r="436" spans="1:9" ht="15" hidden="1" customHeight="1" x14ac:dyDescent="0.2">
      <c r="A436" s="6" t="s">
        <v>291</v>
      </c>
      <c r="B436" s="5">
        <v>45195</v>
      </c>
      <c r="C436" s="3">
        <v>0.35416666666666669</v>
      </c>
      <c r="D436" s="5">
        <v>45195</v>
      </c>
      <c r="E436" s="3">
        <v>0.39583333333333337</v>
      </c>
      <c r="F436" t="b">
        <v>0</v>
      </c>
      <c r="G436" s="7" t="s">
        <v>292</v>
      </c>
      <c r="H436" t="s">
        <v>293</v>
      </c>
      <c r="I436" t="b">
        <v>0</v>
      </c>
    </row>
    <row r="437" spans="1:9" ht="15" hidden="1" customHeight="1" x14ac:dyDescent="0.2">
      <c r="A437" s="6" t="s">
        <v>291</v>
      </c>
      <c r="B437" s="5">
        <v>45197</v>
      </c>
      <c r="C437" s="3">
        <v>0.47916666666666669</v>
      </c>
      <c r="D437" s="5">
        <v>45197</v>
      </c>
      <c r="E437" s="3">
        <v>0.52083333333333337</v>
      </c>
      <c r="F437" t="b">
        <v>0</v>
      </c>
      <c r="G437" s="7" t="s">
        <v>292</v>
      </c>
      <c r="H437" t="s">
        <v>293</v>
      </c>
      <c r="I437" t="b">
        <v>0</v>
      </c>
    </row>
    <row r="438" spans="1:9" ht="15" hidden="1" customHeight="1" x14ac:dyDescent="0.2">
      <c r="A438" s="6" t="s">
        <v>291</v>
      </c>
      <c r="B438" s="5">
        <v>45198</v>
      </c>
      <c r="C438" s="3">
        <v>0.4375</v>
      </c>
      <c r="D438" s="5">
        <v>45198</v>
      </c>
      <c r="E438" s="3">
        <v>0.47916666666666669</v>
      </c>
      <c r="F438" t="b">
        <v>0</v>
      </c>
      <c r="G438" s="7" t="s">
        <v>292</v>
      </c>
      <c r="H438" t="s">
        <v>293</v>
      </c>
      <c r="I438" t="b">
        <v>0</v>
      </c>
    </row>
    <row r="439" spans="1:9" ht="15" hidden="1" customHeight="1" x14ac:dyDescent="0.2">
      <c r="A439" s="3" t="s">
        <v>291</v>
      </c>
      <c r="B439" s="5">
        <v>45202</v>
      </c>
      <c r="C439" s="3">
        <v>0.35416666666666669</v>
      </c>
      <c r="D439" s="5">
        <v>45202</v>
      </c>
      <c r="E439" s="3">
        <v>0.39583333333333337</v>
      </c>
      <c r="F439" t="b">
        <v>0</v>
      </c>
      <c r="G439" s="3" t="s">
        <v>292</v>
      </c>
      <c r="H439" s="3" t="s">
        <v>293</v>
      </c>
      <c r="I439" t="b">
        <v>0</v>
      </c>
    </row>
    <row r="440" spans="1:9" ht="15" hidden="1" customHeight="1" x14ac:dyDescent="0.2">
      <c r="A440" s="3" t="s">
        <v>291</v>
      </c>
      <c r="B440" s="5">
        <v>45204</v>
      </c>
      <c r="C440" s="3">
        <v>0.47916666666666669</v>
      </c>
      <c r="D440" s="5">
        <v>45204</v>
      </c>
      <c r="E440" s="3">
        <v>0.52083333333333337</v>
      </c>
      <c r="F440" t="b">
        <v>0</v>
      </c>
      <c r="G440" s="3" t="s">
        <v>292</v>
      </c>
      <c r="H440" s="3" t="s">
        <v>293</v>
      </c>
      <c r="I440" t="b">
        <v>0</v>
      </c>
    </row>
    <row r="441" spans="1:9" ht="15" hidden="1" customHeight="1" x14ac:dyDescent="0.2">
      <c r="A441" s="3" t="s">
        <v>291</v>
      </c>
      <c r="B441" s="5">
        <v>45205</v>
      </c>
      <c r="C441" s="3">
        <v>0.4375</v>
      </c>
      <c r="D441" s="5">
        <v>45205</v>
      </c>
      <c r="E441" s="3">
        <v>0.47916666666666669</v>
      </c>
      <c r="F441" t="b">
        <v>0</v>
      </c>
      <c r="G441" s="3" t="s">
        <v>292</v>
      </c>
      <c r="H441" s="3" t="s">
        <v>293</v>
      </c>
      <c r="I441" t="b">
        <v>0</v>
      </c>
    </row>
    <row r="442" spans="1:9" ht="15" hidden="1" customHeight="1" x14ac:dyDescent="0.2">
      <c r="A442" s="3" t="s">
        <v>291</v>
      </c>
      <c r="B442" s="5">
        <v>45209</v>
      </c>
      <c r="C442" s="3">
        <v>0.35416666666666669</v>
      </c>
      <c r="D442" s="5">
        <v>45209</v>
      </c>
      <c r="E442" s="3">
        <v>0.39583333333333337</v>
      </c>
      <c r="F442" t="b">
        <v>0</v>
      </c>
      <c r="G442" s="3" t="s">
        <v>292</v>
      </c>
      <c r="H442" s="3" t="s">
        <v>293</v>
      </c>
      <c r="I442" t="b">
        <v>0</v>
      </c>
    </row>
    <row r="443" spans="1:9" ht="15" hidden="1" customHeight="1" x14ac:dyDescent="0.2">
      <c r="A443" s="3" t="s">
        <v>291</v>
      </c>
      <c r="B443" s="5">
        <v>45211</v>
      </c>
      <c r="C443" s="3">
        <v>0.47916666666666669</v>
      </c>
      <c r="D443" s="5">
        <v>45211</v>
      </c>
      <c r="E443" s="3">
        <v>0.52083333333333337</v>
      </c>
      <c r="F443" t="b">
        <v>0</v>
      </c>
      <c r="G443" s="3" t="s">
        <v>292</v>
      </c>
      <c r="H443" s="3" t="s">
        <v>293</v>
      </c>
      <c r="I443" t="b">
        <v>0</v>
      </c>
    </row>
    <row r="444" spans="1:9" ht="15" hidden="1" customHeight="1" x14ac:dyDescent="0.2">
      <c r="A444" s="3" t="s">
        <v>291</v>
      </c>
      <c r="B444" s="5">
        <v>45212</v>
      </c>
      <c r="C444" s="3">
        <v>0.4375</v>
      </c>
      <c r="D444" s="5">
        <v>45212</v>
      </c>
      <c r="E444" s="3">
        <v>0.47916666666666669</v>
      </c>
      <c r="F444" t="b">
        <v>0</v>
      </c>
      <c r="G444" s="3" t="s">
        <v>292</v>
      </c>
      <c r="H444" s="3" t="s">
        <v>293</v>
      </c>
      <c r="I444" t="b">
        <v>0</v>
      </c>
    </row>
    <row r="445" spans="1:9" ht="15" hidden="1" customHeight="1" x14ac:dyDescent="0.2">
      <c r="A445" s="3" t="s">
        <v>291</v>
      </c>
      <c r="B445" s="5">
        <v>45216</v>
      </c>
      <c r="C445" s="3">
        <v>0.35416666666666669</v>
      </c>
      <c r="D445" s="5">
        <v>45216</v>
      </c>
      <c r="E445" s="3">
        <v>0.39583333333333337</v>
      </c>
      <c r="F445" t="b">
        <v>0</v>
      </c>
      <c r="G445" s="3" t="s">
        <v>292</v>
      </c>
      <c r="H445" s="3" t="s">
        <v>293</v>
      </c>
      <c r="I445" t="b">
        <v>0</v>
      </c>
    </row>
    <row r="446" spans="1:9" ht="15" hidden="1" customHeight="1" x14ac:dyDescent="0.2">
      <c r="A446" s="3" t="s">
        <v>291</v>
      </c>
      <c r="B446" s="5">
        <v>45218</v>
      </c>
      <c r="C446" s="3">
        <v>0.47916666666666669</v>
      </c>
      <c r="D446" s="5">
        <v>45218</v>
      </c>
      <c r="E446" s="3">
        <v>0.52083333333333337</v>
      </c>
      <c r="F446" t="b">
        <v>0</v>
      </c>
      <c r="G446" s="3" t="s">
        <v>292</v>
      </c>
      <c r="H446" s="3" t="s">
        <v>293</v>
      </c>
      <c r="I446" t="b">
        <v>0</v>
      </c>
    </row>
    <row r="447" spans="1:9" ht="15" hidden="1" customHeight="1" x14ac:dyDescent="0.2">
      <c r="A447" s="3" t="s">
        <v>291</v>
      </c>
      <c r="B447" s="5">
        <v>45219</v>
      </c>
      <c r="C447" s="3">
        <v>0.4375</v>
      </c>
      <c r="D447" s="5">
        <v>45219</v>
      </c>
      <c r="E447" s="3">
        <v>0.47916666666666669</v>
      </c>
      <c r="F447" t="b">
        <v>0</v>
      </c>
      <c r="G447" s="3" t="s">
        <v>292</v>
      </c>
      <c r="H447" s="3" t="s">
        <v>293</v>
      </c>
      <c r="I447" t="b">
        <v>0</v>
      </c>
    </row>
    <row r="448" spans="1:9" ht="15" hidden="1" customHeight="1" x14ac:dyDescent="0.2">
      <c r="A448" s="3" t="s">
        <v>291</v>
      </c>
      <c r="B448" s="5">
        <v>45223</v>
      </c>
      <c r="C448" s="3">
        <v>0.35416666666666669</v>
      </c>
      <c r="D448" s="5">
        <v>45223</v>
      </c>
      <c r="E448" s="3">
        <v>0.39583333333333337</v>
      </c>
      <c r="F448" t="b">
        <v>0</v>
      </c>
      <c r="G448" s="3" t="s">
        <v>292</v>
      </c>
      <c r="H448" s="3" t="s">
        <v>293</v>
      </c>
      <c r="I448" t="b">
        <v>0</v>
      </c>
    </row>
    <row r="449" spans="1:9" ht="15" hidden="1" customHeight="1" x14ac:dyDescent="0.2">
      <c r="A449" s="3" t="s">
        <v>291</v>
      </c>
      <c r="B449" s="5">
        <v>45225</v>
      </c>
      <c r="C449" s="3">
        <v>0.47916666666666669</v>
      </c>
      <c r="D449" s="5">
        <v>45225</v>
      </c>
      <c r="E449" s="3">
        <v>0.52083333333333337</v>
      </c>
      <c r="F449" t="b">
        <v>0</v>
      </c>
      <c r="G449" s="3" t="s">
        <v>292</v>
      </c>
      <c r="H449" s="3" t="s">
        <v>293</v>
      </c>
      <c r="I449" t="b">
        <v>0</v>
      </c>
    </row>
    <row r="450" spans="1:9" ht="15" hidden="1" customHeight="1" x14ac:dyDescent="0.2">
      <c r="A450" s="3" t="s">
        <v>291</v>
      </c>
      <c r="B450" s="5">
        <v>45226</v>
      </c>
      <c r="C450" s="3">
        <v>0.4375</v>
      </c>
      <c r="D450" s="5">
        <v>45226</v>
      </c>
      <c r="E450" s="3">
        <v>0.47916666666666669</v>
      </c>
      <c r="F450" t="b">
        <v>0</v>
      </c>
      <c r="G450" s="3" t="s">
        <v>292</v>
      </c>
      <c r="H450" s="3" t="s">
        <v>293</v>
      </c>
      <c r="I450" t="b">
        <v>0</v>
      </c>
    </row>
    <row r="451" spans="1:9" ht="15" hidden="1" customHeight="1" x14ac:dyDescent="0.2">
      <c r="A451" s="3" t="s">
        <v>291</v>
      </c>
      <c r="B451" s="5">
        <v>45230</v>
      </c>
      <c r="C451" s="3">
        <v>0.35416666666666669</v>
      </c>
      <c r="D451" s="5">
        <v>45230</v>
      </c>
      <c r="E451" s="3">
        <v>0.39583333333333337</v>
      </c>
      <c r="F451" t="b">
        <v>0</v>
      </c>
      <c r="G451" s="3" t="s">
        <v>292</v>
      </c>
      <c r="H451" s="3" t="s">
        <v>293</v>
      </c>
      <c r="I451" t="b">
        <v>0</v>
      </c>
    </row>
    <row r="452" spans="1:9" ht="15" hidden="1" customHeight="1" x14ac:dyDescent="0.2">
      <c r="A452" s="3" t="s">
        <v>291</v>
      </c>
      <c r="B452" s="5">
        <v>45232</v>
      </c>
      <c r="C452" s="3">
        <v>0.47916666666666669</v>
      </c>
      <c r="D452" s="5">
        <v>45232</v>
      </c>
      <c r="E452" s="3">
        <v>0.52083333333333337</v>
      </c>
      <c r="F452" t="b">
        <v>0</v>
      </c>
      <c r="G452" s="3" t="s">
        <v>292</v>
      </c>
      <c r="H452" s="3" t="s">
        <v>293</v>
      </c>
      <c r="I452" t="b">
        <v>0</v>
      </c>
    </row>
    <row r="453" spans="1:9" ht="15" hidden="1" customHeight="1" x14ac:dyDescent="0.2">
      <c r="A453" s="3" t="s">
        <v>291</v>
      </c>
      <c r="B453" s="5">
        <v>45233</v>
      </c>
      <c r="C453" s="3">
        <v>0.4375</v>
      </c>
      <c r="D453" s="5">
        <v>45233</v>
      </c>
      <c r="E453" s="3">
        <v>0.47916666666666669</v>
      </c>
      <c r="F453" t="b">
        <v>0</v>
      </c>
      <c r="G453" s="3" t="s">
        <v>292</v>
      </c>
      <c r="H453" s="3" t="s">
        <v>293</v>
      </c>
      <c r="I453" t="b">
        <v>0</v>
      </c>
    </row>
    <row r="454" spans="1:9" ht="15" hidden="1" customHeight="1" x14ac:dyDescent="0.2">
      <c r="A454" s="3" t="s">
        <v>291</v>
      </c>
      <c r="B454" s="5">
        <v>45237</v>
      </c>
      <c r="C454" s="3">
        <v>0.35416666666666669</v>
      </c>
      <c r="D454" s="5">
        <v>45237</v>
      </c>
      <c r="E454" s="3">
        <v>0.39583333333333337</v>
      </c>
      <c r="F454" t="b">
        <v>0</v>
      </c>
      <c r="G454" s="3" t="s">
        <v>292</v>
      </c>
      <c r="H454" s="3" t="s">
        <v>293</v>
      </c>
      <c r="I454" t="b">
        <v>0</v>
      </c>
    </row>
    <row r="455" spans="1:9" ht="15" hidden="1" customHeight="1" x14ac:dyDescent="0.2">
      <c r="A455" s="3" t="s">
        <v>291</v>
      </c>
      <c r="B455" s="5">
        <v>45239</v>
      </c>
      <c r="C455" s="3">
        <v>0.47916666666666669</v>
      </c>
      <c r="D455" s="5">
        <v>45239</v>
      </c>
      <c r="E455" s="3">
        <v>0.52083333333333337</v>
      </c>
      <c r="F455" t="b">
        <v>0</v>
      </c>
      <c r="G455" s="3" t="s">
        <v>292</v>
      </c>
      <c r="H455" s="3" t="s">
        <v>293</v>
      </c>
      <c r="I455" t="b">
        <v>0</v>
      </c>
    </row>
    <row r="456" spans="1:9" ht="15" hidden="1" customHeight="1" x14ac:dyDescent="0.2">
      <c r="A456" s="3" t="s">
        <v>291</v>
      </c>
      <c r="B456" s="5">
        <v>45240</v>
      </c>
      <c r="C456" s="3">
        <v>0.4375</v>
      </c>
      <c r="D456" s="5">
        <v>45240</v>
      </c>
      <c r="E456" s="3">
        <v>0.47916666666666669</v>
      </c>
      <c r="F456" t="b">
        <v>0</v>
      </c>
      <c r="G456" s="3" t="s">
        <v>292</v>
      </c>
      <c r="H456" s="3" t="s">
        <v>293</v>
      </c>
      <c r="I456" t="b">
        <v>0</v>
      </c>
    </row>
    <row r="457" spans="1:9" ht="15" hidden="1" customHeight="1" x14ac:dyDescent="0.2">
      <c r="A457" s="6" t="s">
        <v>239</v>
      </c>
      <c r="B457" s="5">
        <v>45195</v>
      </c>
      <c r="C457" s="3">
        <v>0.35416666666666669</v>
      </c>
      <c r="D457" s="5">
        <v>45195</v>
      </c>
      <c r="E457" s="3">
        <v>0.39583333333333337</v>
      </c>
      <c r="F457" t="b">
        <v>0</v>
      </c>
      <c r="G457" s="6" t="s">
        <v>240</v>
      </c>
      <c r="H457" t="s">
        <v>241</v>
      </c>
      <c r="I457" t="b">
        <v>0</v>
      </c>
    </row>
    <row r="458" spans="1:9" ht="15" hidden="1" customHeight="1" x14ac:dyDescent="0.2">
      <c r="A458" s="6" t="s">
        <v>239</v>
      </c>
      <c r="B458" s="5">
        <v>45197</v>
      </c>
      <c r="C458" s="3">
        <v>0.47916666666666669</v>
      </c>
      <c r="D458" s="5">
        <v>45197</v>
      </c>
      <c r="E458" s="3">
        <v>0.52083333333333337</v>
      </c>
      <c r="F458" t="b">
        <v>0</v>
      </c>
      <c r="G458" s="6" t="s">
        <v>240</v>
      </c>
      <c r="H458" t="s">
        <v>241</v>
      </c>
      <c r="I458" t="b">
        <v>0</v>
      </c>
    </row>
    <row r="459" spans="1:9" ht="15" hidden="1" customHeight="1" x14ac:dyDescent="0.2">
      <c r="A459" s="6" t="s">
        <v>239</v>
      </c>
      <c r="B459" s="5">
        <v>45198</v>
      </c>
      <c r="C459" s="3">
        <v>0.625</v>
      </c>
      <c r="D459" s="5">
        <v>45198</v>
      </c>
      <c r="E459" s="3">
        <v>0.66666666666666663</v>
      </c>
      <c r="F459" t="b">
        <v>0</v>
      </c>
      <c r="G459" s="6" t="s">
        <v>240</v>
      </c>
      <c r="H459" t="s">
        <v>241</v>
      </c>
      <c r="I459" t="b">
        <v>0</v>
      </c>
    </row>
    <row r="460" spans="1:9" ht="15" hidden="1" customHeight="1" x14ac:dyDescent="0.2">
      <c r="A460" s="3" t="s">
        <v>239</v>
      </c>
      <c r="B460" s="5">
        <v>45202</v>
      </c>
      <c r="C460" s="3">
        <v>0.35416666666666669</v>
      </c>
      <c r="D460" s="5">
        <v>45202</v>
      </c>
      <c r="E460" s="3">
        <v>0.39583333333333337</v>
      </c>
      <c r="F460" t="b">
        <v>0</v>
      </c>
      <c r="G460" s="3" t="s">
        <v>240</v>
      </c>
      <c r="H460" s="3" t="s">
        <v>241</v>
      </c>
      <c r="I460" t="b">
        <v>0</v>
      </c>
    </row>
    <row r="461" spans="1:9" ht="15" hidden="1" customHeight="1" x14ac:dyDescent="0.2">
      <c r="A461" s="3" t="s">
        <v>239</v>
      </c>
      <c r="B461" s="5">
        <v>45204</v>
      </c>
      <c r="C461" s="3">
        <v>0.47916666666666669</v>
      </c>
      <c r="D461" s="5">
        <v>45204</v>
      </c>
      <c r="E461" s="3">
        <v>0.52083333333333337</v>
      </c>
      <c r="F461" t="b">
        <v>0</v>
      </c>
      <c r="G461" s="3" t="s">
        <v>240</v>
      </c>
      <c r="H461" s="3" t="s">
        <v>241</v>
      </c>
      <c r="I461" t="b">
        <v>0</v>
      </c>
    </row>
    <row r="462" spans="1:9" ht="15" hidden="1" customHeight="1" x14ac:dyDescent="0.2">
      <c r="A462" s="3" t="s">
        <v>239</v>
      </c>
      <c r="B462" s="5">
        <v>45205</v>
      </c>
      <c r="C462" s="3">
        <v>0.625</v>
      </c>
      <c r="D462" s="5">
        <v>45205</v>
      </c>
      <c r="E462" s="3">
        <v>0.66666666666666663</v>
      </c>
      <c r="F462" t="b">
        <v>0</v>
      </c>
      <c r="G462" s="3" t="s">
        <v>240</v>
      </c>
      <c r="H462" s="3" t="s">
        <v>241</v>
      </c>
      <c r="I462" t="b">
        <v>0</v>
      </c>
    </row>
    <row r="463" spans="1:9" ht="15" hidden="1" customHeight="1" x14ac:dyDescent="0.2">
      <c r="A463" s="3" t="s">
        <v>239</v>
      </c>
      <c r="B463" s="5">
        <v>45209</v>
      </c>
      <c r="C463" s="3">
        <v>0.35416666666666669</v>
      </c>
      <c r="D463" s="5">
        <v>45209</v>
      </c>
      <c r="E463" s="3">
        <v>0.39583333333333337</v>
      </c>
      <c r="F463" t="b">
        <v>0</v>
      </c>
      <c r="G463" s="3" t="s">
        <v>240</v>
      </c>
      <c r="H463" s="3" t="s">
        <v>241</v>
      </c>
      <c r="I463" t="b">
        <v>0</v>
      </c>
    </row>
    <row r="464" spans="1:9" ht="15" hidden="1" customHeight="1" x14ac:dyDescent="0.2">
      <c r="A464" s="3" t="s">
        <v>239</v>
      </c>
      <c r="B464" s="5">
        <v>45211</v>
      </c>
      <c r="C464" s="3">
        <v>0.47916666666666669</v>
      </c>
      <c r="D464" s="5">
        <v>45211</v>
      </c>
      <c r="E464" s="3">
        <v>0.52083333333333337</v>
      </c>
      <c r="F464" t="b">
        <v>0</v>
      </c>
      <c r="G464" s="3" t="s">
        <v>240</v>
      </c>
      <c r="H464" s="3" t="s">
        <v>241</v>
      </c>
      <c r="I464" t="b">
        <v>0</v>
      </c>
    </row>
    <row r="465" spans="1:9" ht="15" hidden="1" customHeight="1" x14ac:dyDescent="0.2">
      <c r="A465" s="3" t="s">
        <v>239</v>
      </c>
      <c r="B465" s="5">
        <v>45212</v>
      </c>
      <c r="C465" s="3">
        <v>0.625</v>
      </c>
      <c r="D465" s="5">
        <v>45212</v>
      </c>
      <c r="E465" s="3">
        <v>0.66666666666666663</v>
      </c>
      <c r="F465" t="b">
        <v>0</v>
      </c>
      <c r="G465" s="3" t="s">
        <v>240</v>
      </c>
      <c r="H465" s="3" t="s">
        <v>241</v>
      </c>
      <c r="I465" t="b">
        <v>0</v>
      </c>
    </row>
    <row r="466" spans="1:9" ht="15" hidden="1" customHeight="1" x14ac:dyDescent="0.2">
      <c r="A466" s="3" t="s">
        <v>239</v>
      </c>
      <c r="B466" s="5">
        <v>45216</v>
      </c>
      <c r="C466" s="3">
        <v>0.35416666666666669</v>
      </c>
      <c r="D466" s="5">
        <v>45216</v>
      </c>
      <c r="E466" s="3">
        <v>0.39583333333333337</v>
      </c>
      <c r="F466" t="b">
        <v>0</v>
      </c>
      <c r="G466" s="3" t="s">
        <v>240</v>
      </c>
      <c r="H466" s="3" t="s">
        <v>241</v>
      </c>
      <c r="I466" t="b">
        <v>0</v>
      </c>
    </row>
    <row r="467" spans="1:9" ht="15" hidden="1" customHeight="1" x14ac:dyDescent="0.2">
      <c r="A467" s="3" t="s">
        <v>239</v>
      </c>
      <c r="B467" s="5">
        <v>45218</v>
      </c>
      <c r="C467" s="3">
        <v>0.47916666666666669</v>
      </c>
      <c r="D467" s="5">
        <v>45218</v>
      </c>
      <c r="E467" s="3">
        <v>0.52083333333333337</v>
      </c>
      <c r="F467" t="b">
        <v>0</v>
      </c>
      <c r="G467" s="3" t="s">
        <v>240</v>
      </c>
      <c r="H467" s="3" t="s">
        <v>241</v>
      </c>
      <c r="I467" t="b">
        <v>0</v>
      </c>
    </row>
    <row r="468" spans="1:9" ht="15" hidden="1" customHeight="1" x14ac:dyDescent="0.2">
      <c r="A468" s="3" t="s">
        <v>239</v>
      </c>
      <c r="B468" s="5">
        <v>45219</v>
      </c>
      <c r="C468" s="3">
        <v>0.625</v>
      </c>
      <c r="D468" s="5">
        <v>45219</v>
      </c>
      <c r="E468" s="3">
        <v>0.66666666666666663</v>
      </c>
      <c r="F468" t="b">
        <v>0</v>
      </c>
      <c r="G468" s="3" t="s">
        <v>240</v>
      </c>
      <c r="H468" s="3" t="s">
        <v>241</v>
      </c>
      <c r="I468" t="b">
        <v>0</v>
      </c>
    </row>
    <row r="469" spans="1:9" ht="15" hidden="1" customHeight="1" x14ac:dyDescent="0.2">
      <c r="A469" s="3" t="s">
        <v>239</v>
      </c>
      <c r="B469" s="5">
        <v>45223</v>
      </c>
      <c r="C469" s="3">
        <v>0.35416666666666669</v>
      </c>
      <c r="D469" s="5">
        <v>45223</v>
      </c>
      <c r="E469" s="3">
        <v>0.39583333333333337</v>
      </c>
      <c r="F469" t="b">
        <v>0</v>
      </c>
      <c r="G469" s="3" t="s">
        <v>240</v>
      </c>
      <c r="H469" s="3" t="s">
        <v>241</v>
      </c>
      <c r="I469" t="b">
        <v>0</v>
      </c>
    </row>
    <row r="470" spans="1:9" ht="15" hidden="1" customHeight="1" x14ac:dyDescent="0.2">
      <c r="A470" s="3" t="s">
        <v>239</v>
      </c>
      <c r="B470" s="5">
        <v>45225</v>
      </c>
      <c r="C470" s="3">
        <v>0.47916666666666669</v>
      </c>
      <c r="D470" s="5">
        <v>45225</v>
      </c>
      <c r="E470" s="3">
        <v>0.52083333333333337</v>
      </c>
      <c r="F470" t="b">
        <v>0</v>
      </c>
      <c r="G470" s="3" t="s">
        <v>240</v>
      </c>
      <c r="H470" s="3" t="s">
        <v>241</v>
      </c>
      <c r="I470" t="b">
        <v>0</v>
      </c>
    </row>
    <row r="471" spans="1:9" ht="15" hidden="1" customHeight="1" x14ac:dyDescent="0.2">
      <c r="A471" s="3" t="s">
        <v>239</v>
      </c>
      <c r="B471" s="5">
        <v>45226</v>
      </c>
      <c r="C471" s="3">
        <v>0.625</v>
      </c>
      <c r="D471" s="5">
        <v>45226</v>
      </c>
      <c r="E471" s="3">
        <v>0.66666666666666663</v>
      </c>
      <c r="F471" t="b">
        <v>0</v>
      </c>
      <c r="G471" s="3" t="s">
        <v>240</v>
      </c>
      <c r="H471" s="3" t="s">
        <v>241</v>
      </c>
      <c r="I471" t="b">
        <v>0</v>
      </c>
    </row>
    <row r="472" spans="1:9" ht="15" hidden="1" customHeight="1" x14ac:dyDescent="0.2">
      <c r="A472" s="3" t="s">
        <v>239</v>
      </c>
      <c r="B472" s="5">
        <v>45230</v>
      </c>
      <c r="C472" s="3">
        <v>0.35416666666666669</v>
      </c>
      <c r="D472" s="5">
        <v>45230</v>
      </c>
      <c r="E472" s="3">
        <v>0.39583333333333337</v>
      </c>
      <c r="F472" t="b">
        <v>0</v>
      </c>
      <c r="G472" s="3" t="s">
        <v>240</v>
      </c>
      <c r="H472" s="3" t="s">
        <v>241</v>
      </c>
      <c r="I472" t="b">
        <v>0</v>
      </c>
    </row>
    <row r="473" spans="1:9" ht="15" hidden="1" customHeight="1" x14ac:dyDescent="0.2">
      <c r="A473" s="3" t="s">
        <v>239</v>
      </c>
      <c r="B473" s="5">
        <v>45232</v>
      </c>
      <c r="C473" s="3">
        <v>0.47916666666666669</v>
      </c>
      <c r="D473" s="5">
        <v>45232</v>
      </c>
      <c r="E473" s="3">
        <v>0.52083333333333337</v>
      </c>
      <c r="F473" t="b">
        <v>0</v>
      </c>
      <c r="G473" s="3" t="s">
        <v>240</v>
      </c>
      <c r="H473" s="3" t="s">
        <v>241</v>
      </c>
      <c r="I473" t="b">
        <v>0</v>
      </c>
    </row>
    <row r="474" spans="1:9" ht="15" hidden="1" customHeight="1" x14ac:dyDescent="0.2">
      <c r="A474" s="3" t="s">
        <v>239</v>
      </c>
      <c r="B474" s="5">
        <v>45233</v>
      </c>
      <c r="C474" s="3">
        <v>0.625</v>
      </c>
      <c r="D474" s="5">
        <v>45233</v>
      </c>
      <c r="E474" s="3">
        <v>0.66666666666666663</v>
      </c>
      <c r="F474" t="b">
        <v>0</v>
      </c>
      <c r="G474" s="3" t="s">
        <v>240</v>
      </c>
      <c r="H474" s="3" t="s">
        <v>241</v>
      </c>
      <c r="I474" t="b">
        <v>0</v>
      </c>
    </row>
    <row r="475" spans="1:9" ht="15" hidden="1" customHeight="1" x14ac:dyDescent="0.2">
      <c r="A475" s="3" t="s">
        <v>239</v>
      </c>
      <c r="B475" s="5">
        <v>45237</v>
      </c>
      <c r="C475" s="3">
        <v>0.35416666666666669</v>
      </c>
      <c r="D475" s="5">
        <v>45237</v>
      </c>
      <c r="E475" s="3">
        <v>0.39583333333333337</v>
      </c>
      <c r="F475" t="b">
        <v>0</v>
      </c>
      <c r="G475" s="3" t="s">
        <v>240</v>
      </c>
      <c r="H475" s="3" t="s">
        <v>241</v>
      </c>
      <c r="I475" t="b">
        <v>0</v>
      </c>
    </row>
    <row r="476" spans="1:9" ht="15" hidden="1" customHeight="1" x14ac:dyDescent="0.2">
      <c r="A476" s="3" t="s">
        <v>239</v>
      </c>
      <c r="B476" s="5">
        <v>45239</v>
      </c>
      <c r="C476" s="3">
        <v>0.47916666666666669</v>
      </c>
      <c r="D476" s="5">
        <v>45239</v>
      </c>
      <c r="E476" s="3">
        <v>0.52083333333333337</v>
      </c>
      <c r="F476" t="b">
        <v>0</v>
      </c>
      <c r="G476" s="3" t="s">
        <v>240</v>
      </c>
      <c r="H476" s="3" t="s">
        <v>241</v>
      </c>
      <c r="I476" t="b">
        <v>0</v>
      </c>
    </row>
    <row r="477" spans="1:9" ht="15" hidden="1" customHeight="1" x14ac:dyDescent="0.2">
      <c r="A477" s="3" t="s">
        <v>239</v>
      </c>
      <c r="B477" s="5">
        <v>45240</v>
      </c>
      <c r="C477" s="3">
        <v>0.625</v>
      </c>
      <c r="D477" s="5">
        <v>45240</v>
      </c>
      <c r="E477" s="3">
        <v>0.66666666666666663</v>
      </c>
      <c r="F477" t="b">
        <v>0</v>
      </c>
      <c r="G477" s="3" t="s">
        <v>240</v>
      </c>
      <c r="H477" s="3" t="s">
        <v>241</v>
      </c>
      <c r="I477" t="b">
        <v>0</v>
      </c>
    </row>
    <row r="478" spans="1:9" ht="15" hidden="1" customHeight="1" x14ac:dyDescent="0.2">
      <c r="A478" s="6" t="s">
        <v>234</v>
      </c>
      <c r="B478" s="5">
        <v>45194</v>
      </c>
      <c r="C478" s="3">
        <v>0.39583333333333331</v>
      </c>
      <c r="D478" s="5">
        <v>45194</v>
      </c>
      <c r="E478" s="3">
        <v>0.4375</v>
      </c>
      <c r="F478" t="b">
        <v>0</v>
      </c>
      <c r="G478" s="7" t="s">
        <v>235</v>
      </c>
      <c r="H478" t="s">
        <v>236</v>
      </c>
      <c r="I478" t="b">
        <v>0</v>
      </c>
    </row>
    <row r="479" spans="1:9" ht="15" hidden="1" customHeight="1" x14ac:dyDescent="0.2">
      <c r="A479" s="6" t="s">
        <v>254</v>
      </c>
      <c r="B479" s="5">
        <v>45195</v>
      </c>
      <c r="C479" s="3">
        <v>0.4375</v>
      </c>
      <c r="D479" s="5">
        <v>45195</v>
      </c>
      <c r="E479" s="3">
        <v>0.47916666666666669</v>
      </c>
      <c r="F479" t="b">
        <v>0</v>
      </c>
      <c r="G479" s="7" t="s">
        <v>255</v>
      </c>
      <c r="H479" t="s">
        <v>236</v>
      </c>
      <c r="I479" t="b">
        <v>0</v>
      </c>
    </row>
    <row r="480" spans="1:9" ht="15" hidden="1" customHeight="1" x14ac:dyDescent="0.2">
      <c r="A480" s="6" t="s">
        <v>254</v>
      </c>
      <c r="B480" s="5">
        <v>45197</v>
      </c>
      <c r="C480" s="3">
        <v>0.39583333333333331</v>
      </c>
      <c r="D480" s="5">
        <v>45197</v>
      </c>
      <c r="E480" s="3">
        <v>0.4375</v>
      </c>
      <c r="F480" t="b">
        <v>0</v>
      </c>
      <c r="G480" s="7" t="s">
        <v>255</v>
      </c>
      <c r="H480" t="s">
        <v>236</v>
      </c>
      <c r="I480" t="b">
        <v>0</v>
      </c>
    </row>
    <row r="481" spans="1:9" ht="15" hidden="1" customHeight="1" x14ac:dyDescent="0.2">
      <c r="A481" s="3" t="s">
        <v>254</v>
      </c>
      <c r="B481" s="5">
        <v>45201</v>
      </c>
      <c r="C481" s="3">
        <v>0.58333333333333337</v>
      </c>
      <c r="D481" s="5">
        <v>45201</v>
      </c>
      <c r="E481" s="3">
        <v>0.625</v>
      </c>
      <c r="F481" t="b">
        <v>0</v>
      </c>
      <c r="G481" s="3" t="s">
        <v>255</v>
      </c>
      <c r="H481" s="3" t="s">
        <v>236</v>
      </c>
      <c r="I481" t="b">
        <v>0</v>
      </c>
    </row>
    <row r="482" spans="1:9" ht="15" hidden="1" customHeight="1" x14ac:dyDescent="0.2">
      <c r="A482" s="3" t="s">
        <v>254</v>
      </c>
      <c r="B482" s="5">
        <v>45202</v>
      </c>
      <c r="C482" s="3">
        <v>0.4375</v>
      </c>
      <c r="D482" s="5">
        <v>45202</v>
      </c>
      <c r="E482" s="3">
        <v>0.47916666666666669</v>
      </c>
      <c r="F482" t="b">
        <v>0</v>
      </c>
      <c r="G482" s="3" t="s">
        <v>255</v>
      </c>
      <c r="H482" s="3" t="s">
        <v>236</v>
      </c>
      <c r="I482" t="b">
        <v>0</v>
      </c>
    </row>
    <row r="483" spans="1:9" ht="15" hidden="1" customHeight="1" x14ac:dyDescent="0.2">
      <c r="A483" s="3" t="s">
        <v>254</v>
      </c>
      <c r="B483" s="5">
        <v>45204</v>
      </c>
      <c r="C483" s="3">
        <v>0.39583333333333331</v>
      </c>
      <c r="D483" s="5">
        <v>45204</v>
      </c>
      <c r="E483" s="3">
        <v>0.4375</v>
      </c>
      <c r="F483" t="b">
        <v>0</v>
      </c>
      <c r="G483" s="3" t="s">
        <v>255</v>
      </c>
      <c r="H483" s="3" t="s">
        <v>236</v>
      </c>
      <c r="I483" t="b">
        <v>0</v>
      </c>
    </row>
    <row r="484" spans="1:9" ht="15" hidden="1" customHeight="1" x14ac:dyDescent="0.2">
      <c r="A484" s="3" t="s">
        <v>254</v>
      </c>
      <c r="B484" s="5">
        <v>45208</v>
      </c>
      <c r="C484" s="3">
        <v>0.58333333333333337</v>
      </c>
      <c r="D484" s="5">
        <v>45208</v>
      </c>
      <c r="E484" s="3">
        <v>0.625</v>
      </c>
      <c r="F484" t="b">
        <v>0</v>
      </c>
      <c r="G484" s="3" t="s">
        <v>255</v>
      </c>
      <c r="H484" s="3" t="s">
        <v>236</v>
      </c>
      <c r="I484" t="b">
        <v>0</v>
      </c>
    </row>
    <row r="485" spans="1:9" ht="15" hidden="1" customHeight="1" x14ac:dyDescent="0.2">
      <c r="A485" s="3" t="s">
        <v>254</v>
      </c>
      <c r="B485" s="5">
        <v>45209</v>
      </c>
      <c r="C485" s="3">
        <v>0.4375</v>
      </c>
      <c r="D485" s="5">
        <v>45209</v>
      </c>
      <c r="E485" s="3">
        <v>0.47916666666666669</v>
      </c>
      <c r="F485" t="b">
        <v>0</v>
      </c>
      <c r="G485" s="3" t="s">
        <v>255</v>
      </c>
      <c r="H485" s="3" t="s">
        <v>236</v>
      </c>
      <c r="I485" t="b">
        <v>0</v>
      </c>
    </row>
    <row r="486" spans="1:9" ht="15" hidden="1" customHeight="1" x14ac:dyDescent="0.2">
      <c r="A486" s="3" t="s">
        <v>254</v>
      </c>
      <c r="B486" s="5">
        <v>45211</v>
      </c>
      <c r="C486" s="3">
        <v>0.39583333333333331</v>
      </c>
      <c r="D486" s="5">
        <v>45211</v>
      </c>
      <c r="E486" s="3">
        <v>0.4375</v>
      </c>
      <c r="F486" t="b">
        <v>0</v>
      </c>
      <c r="G486" s="3" t="s">
        <v>255</v>
      </c>
      <c r="H486" s="3" t="s">
        <v>236</v>
      </c>
      <c r="I486" t="b">
        <v>0</v>
      </c>
    </row>
    <row r="487" spans="1:9" ht="15" hidden="1" customHeight="1" x14ac:dyDescent="0.2">
      <c r="A487" s="3" t="s">
        <v>254</v>
      </c>
      <c r="B487" s="5">
        <v>45215</v>
      </c>
      <c r="C487" s="3">
        <v>0.58333333333333337</v>
      </c>
      <c r="D487" s="5">
        <v>45215</v>
      </c>
      <c r="E487" s="3">
        <v>0.625</v>
      </c>
      <c r="F487" t="b">
        <v>0</v>
      </c>
      <c r="G487" s="3" t="s">
        <v>255</v>
      </c>
      <c r="H487" s="3" t="s">
        <v>236</v>
      </c>
      <c r="I487" t="b">
        <v>0</v>
      </c>
    </row>
    <row r="488" spans="1:9" ht="15" hidden="1" customHeight="1" x14ac:dyDescent="0.2">
      <c r="A488" s="3" t="s">
        <v>254</v>
      </c>
      <c r="B488" s="5">
        <v>45216</v>
      </c>
      <c r="C488" s="3">
        <v>0.4375</v>
      </c>
      <c r="D488" s="5">
        <v>45216</v>
      </c>
      <c r="E488" s="3">
        <v>0.47916666666666669</v>
      </c>
      <c r="F488" t="b">
        <v>0</v>
      </c>
      <c r="G488" s="3" t="s">
        <v>255</v>
      </c>
      <c r="H488" s="3" t="s">
        <v>236</v>
      </c>
      <c r="I488" t="b">
        <v>0</v>
      </c>
    </row>
    <row r="489" spans="1:9" ht="15" hidden="1" customHeight="1" x14ac:dyDescent="0.2">
      <c r="A489" s="3" t="s">
        <v>254</v>
      </c>
      <c r="B489" s="5">
        <v>45218</v>
      </c>
      <c r="C489" s="3">
        <v>0.39583333333333331</v>
      </c>
      <c r="D489" s="5">
        <v>45218</v>
      </c>
      <c r="E489" s="3">
        <v>0.4375</v>
      </c>
      <c r="F489" t="b">
        <v>0</v>
      </c>
      <c r="G489" s="3" t="s">
        <v>255</v>
      </c>
      <c r="H489" s="3" t="s">
        <v>236</v>
      </c>
      <c r="I489" t="b">
        <v>0</v>
      </c>
    </row>
    <row r="490" spans="1:9" ht="15" hidden="1" customHeight="1" x14ac:dyDescent="0.2">
      <c r="A490" s="3" t="s">
        <v>254</v>
      </c>
      <c r="B490" s="5">
        <v>45222</v>
      </c>
      <c r="C490" s="3">
        <v>0.58333333333333337</v>
      </c>
      <c r="D490" s="5">
        <v>45222</v>
      </c>
      <c r="E490" s="3">
        <v>0.625</v>
      </c>
      <c r="F490" t="b">
        <v>0</v>
      </c>
      <c r="G490" s="3" t="s">
        <v>255</v>
      </c>
      <c r="H490" s="3" t="s">
        <v>236</v>
      </c>
      <c r="I490" t="b">
        <v>0</v>
      </c>
    </row>
    <row r="491" spans="1:9" ht="15" hidden="1" customHeight="1" x14ac:dyDescent="0.2">
      <c r="A491" s="3" t="s">
        <v>254</v>
      </c>
      <c r="B491" s="5">
        <v>45223</v>
      </c>
      <c r="C491" s="3">
        <v>0.4375</v>
      </c>
      <c r="D491" s="5">
        <v>45223</v>
      </c>
      <c r="E491" s="3">
        <v>0.47916666666666669</v>
      </c>
      <c r="F491" t="b">
        <v>0</v>
      </c>
      <c r="G491" s="3" t="s">
        <v>255</v>
      </c>
      <c r="H491" s="3" t="s">
        <v>236</v>
      </c>
      <c r="I491" t="b">
        <v>0</v>
      </c>
    </row>
    <row r="492" spans="1:9" ht="15" hidden="1" customHeight="1" x14ac:dyDescent="0.2">
      <c r="A492" s="3" t="s">
        <v>254</v>
      </c>
      <c r="B492" s="5">
        <v>45225</v>
      </c>
      <c r="C492" s="3">
        <v>0.39583333333333331</v>
      </c>
      <c r="D492" s="5">
        <v>45225</v>
      </c>
      <c r="E492" s="3">
        <v>0.4375</v>
      </c>
      <c r="F492" t="b">
        <v>0</v>
      </c>
      <c r="G492" s="3" t="s">
        <v>255</v>
      </c>
      <c r="H492" s="3" t="s">
        <v>236</v>
      </c>
      <c r="I492" t="b">
        <v>0</v>
      </c>
    </row>
    <row r="493" spans="1:9" ht="15" hidden="1" customHeight="1" x14ac:dyDescent="0.2">
      <c r="A493" s="3" t="s">
        <v>254</v>
      </c>
      <c r="B493" s="5">
        <v>45229</v>
      </c>
      <c r="C493" s="3">
        <v>0.58333333333333337</v>
      </c>
      <c r="D493" s="5">
        <v>45229</v>
      </c>
      <c r="E493" s="3">
        <v>0.625</v>
      </c>
      <c r="F493" t="b">
        <v>0</v>
      </c>
      <c r="G493" s="3" t="s">
        <v>255</v>
      </c>
      <c r="H493" s="3" t="s">
        <v>236</v>
      </c>
      <c r="I493" t="b">
        <v>0</v>
      </c>
    </row>
    <row r="494" spans="1:9" ht="15" hidden="1" customHeight="1" x14ac:dyDescent="0.2">
      <c r="A494" s="3" t="s">
        <v>254</v>
      </c>
      <c r="B494" s="5">
        <v>45230</v>
      </c>
      <c r="C494" s="3">
        <v>0.4375</v>
      </c>
      <c r="D494" s="5">
        <v>45230</v>
      </c>
      <c r="E494" s="3">
        <v>0.47916666666666669</v>
      </c>
      <c r="F494" t="b">
        <v>0</v>
      </c>
      <c r="G494" s="3" t="s">
        <v>255</v>
      </c>
      <c r="H494" s="3" t="s">
        <v>236</v>
      </c>
      <c r="I494" t="b">
        <v>0</v>
      </c>
    </row>
    <row r="495" spans="1:9" ht="15" hidden="1" customHeight="1" x14ac:dyDescent="0.2">
      <c r="A495" s="3" t="s">
        <v>254</v>
      </c>
      <c r="B495" s="5">
        <v>45232</v>
      </c>
      <c r="C495" s="3">
        <v>0.39583333333333331</v>
      </c>
      <c r="D495" s="5">
        <v>45232</v>
      </c>
      <c r="E495" s="3">
        <v>0.4375</v>
      </c>
      <c r="F495" t="b">
        <v>0</v>
      </c>
      <c r="G495" s="3" t="s">
        <v>255</v>
      </c>
      <c r="H495" s="3" t="s">
        <v>236</v>
      </c>
      <c r="I495" t="b">
        <v>0</v>
      </c>
    </row>
    <row r="496" spans="1:9" ht="15" hidden="1" customHeight="1" x14ac:dyDescent="0.2">
      <c r="A496" s="3" t="s">
        <v>254</v>
      </c>
      <c r="B496" s="5">
        <v>45236</v>
      </c>
      <c r="C496" s="3">
        <v>0.58333333333333337</v>
      </c>
      <c r="D496" s="5">
        <v>45236</v>
      </c>
      <c r="E496" s="3">
        <v>0.625</v>
      </c>
      <c r="F496" t="b">
        <v>0</v>
      </c>
      <c r="G496" s="3" t="s">
        <v>255</v>
      </c>
      <c r="H496" s="3" t="s">
        <v>236</v>
      </c>
      <c r="I496" t="b">
        <v>0</v>
      </c>
    </row>
    <row r="497" spans="1:9" ht="15" hidden="1" customHeight="1" x14ac:dyDescent="0.2">
      <c r="A497" s="3" t="s">
        <v>254</v>
      </c>
      <c r="B497" s="5">
        <v>45237</v>
      </c>
      <c r="C497" s="3">
        <v>0.4375</v>
      </c>
      <c r="D497" s="5">
        <v>45237</v>
      </c>
      <c r="E497" s="3">
        <v>0.47916666666666669</v>
      </c>
      <c r="F497" t="b">
        <v>0</v>
      </c>
      <c r="G497" s="3" t="s">
        <v>255</v>
      </c>
      <c r="H497" s="3" t="s">
        <v>236</v>
      </c>
      <c r="I497" t="b">
        <v>0</v>
      </c>
    </row>
    <row r="498" spans="1:9" ht="15" hidden="1" customHeight="1" x14ac:dyDescent="0.2">
      <c r="A498" s="3" t="s">
        <v>254</v>
      </c>
      <c r="B498" s="5">
        <v>45239</v>
      </c>
      <c r="C498" s="3">
        <v>0.39583333333333331</v>
      </c>
      <c r="D498" s="5">
        <v>45239</v>
      </c>
      <c r="E498" s="3">
        <v>0.4375</v>
      </c>
      <c r="F498" t="b">
        <v>0</v>
      </c>
      <c r="G498" s="3" t="s">
        <v>255</v>
      </c>
      <c r="H498" s="3" t="s">
        <v>236</v>
      </c>
      <c r="I498" t="b">
        <v>0</v>
      </c>
    </row>
    <row r="499" spans="1:9" ht="15" hidden="1" customHeight="1" x14ac:dyDescent="0.2">
      <c r="A499" t="s">
        <v>164</v>
      </c>
      <c r="B499" s="5">
        <v>45194</v>
      </c>
      <c r="C499" s="3">
        <v>0.41666666666666669</v>
      </c>
      <c r="D499" s="5">
        <v>45194</v>
      </c>
      <c r="E499" s="3">
        <v>0.54166666666666663</v>
      </c>
      <c r="F499" t="b">
        <v>0</v>
      </c>
      <c r="G499" s="4" t="s">
        <v>165</v>
      </c>
      <c r="I499" t="b">
        <v>0</v>
      </c>
    </row>
    <row r="500" spans="1:9" ht="15" hidden="1" customHeight="1" x14ac:dyDescent="0.2">
      <c r="A500" s="6" t="s">
        <v>237</v>
      </c>
      <c r="B500" s="5">
        <v>45196</v>
      </c>
      <c r="C500" s="3">
        <v>0.4375</v>
      </c>
      <c r="D500" s="5">
        <v>45196</v>
      </c>
      <c r="E500" s="3">
        <v>0.47916666666666669</v>
      </c>
      <c r="F500" t="b">
        <v>0</v>
      </c>
      <c r="G500" s="7" t="s">
        <v>238</v>
      </c>
      <c r="H500" t="s">
        <v>242</v>
      </c>
      <c r="I500" t="b">
        <v>0</v>
      </c>
    </row>
    <row r="501" spans="1:9" ht="15" hidden="1" customHeight="1" x14ac:dyDescent="0.2">
      <c r="A501" s="6" t="s">
        <v>237</v>
      </c>
      <c r="B501" s="5">
        <v>45198</v>
      </c>
      <c r="C501" s="3">
        <v>0.47916666666666669</v>
      </c>
      <c r="D501" s="5">
        <v>45198</v>
      </c>
      <c r="E501" s="3">
        <v>0.52083333333333337</v>
      </c>
      <c r="F501" t="b">
        <v>0</v>
      </c>
      <c r="G501" s="7" t="s">
        <v>238</v>
      </c>
      <c r="H501" t="s">
        <v>242</v>
      </c>
      <c r="I501" t="b">
        <v>0</v>
      </c>
    </row>
    <row r="502" spans="1:9" ht="15" hidden="1" customHeight="1" x14ac:dyDescent="0.2">
      <c r="A502" s="3" t="s">
        <v>237</v>
      </c>
      <c r="B502" s="5">
        <v>45201</v>
      </c>
      <c r="C502" s="3">
        <v>0.39583333333333331</v>
      </c>
      <c r="D502" s="5">
        <v>45201</v>
      </c>
      <c r="E502" s="3">
        <v>0.4375</v>
      </c>
      <c r="F502" t="b">
        <v>0</v>
      </c>
      <c r="G502" s="3" t="s">
        <v>238</v>
      </c>
      <c r="H502" s="3" t="s">
        <v>242</v>
      </c>
      <c r="I502" t="b">
        <v>0</v>
      </c>
    </row>
    <row r="503" spans="1:9" ht="15" hidden="1" customHeight="1" x14ac:dyDescent="0.2">
      <c r="A503" s="3" t="s">
        <v>237</v>
      </c>
      <c r="B503" s="5">
        <v>45203</v>
      </c>
      <c r="C503" s="3">
        <v>0.4375</v>
      </c>
      <c r="D503" s="5">
        <v>45203</v>
      </c>
      <c r="E503" s="3">
        <v>0.47916666666666669</v>
      </c>
      <c r="F503" t="b">
        <v>0</v>
      </c>
      <c r="G503" s="3" t="s">
        <v>238</v>
      </c>
      <c r="H503" s="3" t="s">
        <v>242</v>
      </c>
      <c r="I503" t="b">
        <v>0</v>
      </c>
    </row>
    <row r="504" spans="1:9" ht="15" hidden="1" customHeight="1" x14ac:dyDescent="0.2">
      <c r="A504" s="3" t="s">
        <v>237</v>
      </c>
      <c r="B504" s="5">
        <v>45205</v>
      </c>
      <c r="C504" s="3">
        <v>0.47916666666666669</v>
      </c>
      <c r="D504" s="5">
        <v>45205</v>
      </c>
      <c r="E504" s="3">
        <v>0.52083333333333337</v>
      </c>
      <c r="F504" t="b">
        <v>0</v>
      </c>
      <c r="G504" s="3" t="s">
        <v>238</v>
      </c>
      <c r="H504" s="3" t="s">
        <v>242</v>
      </c>
      <c r="I504" t="b">
        <v>0</v>
      </c>
    </row>
    <row r="505" spans="1:9" ht="15" hidden="1" customHeight="1" x14ac:dyDescent="0.2">
      <c r="A505" s="3" t="s">
        <v>237</v>
      </c>
      <c r="B505" s="5">
        <v>45208</v>
      </c>
      <c r="C505" s="3">
        <v>0.39583333333333331</v>
      </c>
      <c r="D505" s="5">
        <v>45208</v>
      </c>
      <c r="E505" s="3">
        <v>0.4375</v>
      </c>
      <c r="F505" t="b">
        <v>0</v>
      </c>
      <c r="G505" s="3" t="s">
        <v>238</v>
      </c>
      <c r="H505" s="3" t="s">
        <v>242</v>
      </c>
      <c r="I505" t="b">
        <v>0</v>
      </c>
    </row>
    <row r="506" spans="1:9" ht="15" hidden="1" customHeight="1" x14ac:dyDescent="0.2">
      <c r="A506" s="3" t="s">
        <v>237</v>
      </c>
      <c r="B506" s="5">
        <v>45210</v>
      </c>
      <c r="C506" s="3">
        <v>0.4375</v>
      </c>
      <c r="D506" s="5">
        <v>45210</v>
      </c>
      <c r="E506" s="3">
        <v>0.47916666666666669</v>
      </c>
      <c r="F506" t="b">
        <v>0</v>
      </c>
      <c r="G506" s="3" t="s">
        <v>238</v>
      </c>
      <c r="H506" s="3" t="s">
        <v>242</v>
      </c>
      <c r="I506" t="b">
        <v>0</v>
      </c>
    </row>
    <row r="507" spans="1:9" ht="15" hidden="1" customHeight="1" x14ac:dyDescent="0.2">
      <c r="A507" s="3" t="s">
        <v>237</v>
      </c>
      <c r="B507" s="5">
        <v>45212</v>
      </c>
      <c r="C507" s="3">
        <v>0.47916666666666669</v>
      </c>
      <c r="D507" s="5">
        <v>45212</v>
      </c>
      <c r="E507" s="3">
        <v>0.52083333333333337</v>
      </c>
      <c r="F507" t="b">
        <v>0</v>
      </c>
      <c r="G507" s="3" t="s">
        <v>238</v>
      </c>
      <c r="H507" s="3" t="s">
        <v>242</v>
      </c>
      <c r="I507" t="b">
        <v>0</v>
      </c>
    </row>
    <row r="508" spans="1:9" ht="15" hidden="1" customHeight="1" x14ac:dyDescent="0.2">
      <c r="A508" s="3" t="s">
        <v>237</v>
      </c>
      <c r="B508" s="5">
        <v>45215</v>
      </c>
      <c r="C508" s="3">
        <v>0.39583333333333331</v>
      </c>
      <c r="D508" s="5">
        <v>45215</v>
      </c>
      <c r="E508" s="3">
        <v>0.4375</v>
      </c>
      <c r="F508" t="b">
        <v>0</v>
      </c>
      <c r="G508" s="3" t="s">
        <v>238</v>
      </c>
      <c r="H508" s="3" t="s">
        <v>242</v>
      </c>
      <c r="I508" t="b">
        <v>0</v>
      </c>
    </row>
    <row r="509" spans="1:9" ht="15" hidden="1" customHeight="1" x14ac:dyDescent="0.2">
      <c r="A509" s="3" t="s">
        <v>237</v>
      </c>
      <c r="B509" s="5">
        <v>45217</v>
      </c>
      <c r="C509" s="3">
        <v>0.4375</v>
      </c>
      <c r="D509" s="5">
        <v>45217</v>
      </c>
      <c r="E509" s="3">
        <v>0.47916666666666669</v>
      </c>
      <c r="F509" t="b">
        <v>0</v>
      </c>
      <c r="G509" s="3" t="s">
        <v>238</v>
      </c>
      <c r="H509" s="3" t="s">
        <v>242</v>
      </c>
      <c r="I509" t="b">
        <v>0</v>
      </c>
    </row>
    <row r="510" spans="1:9" ht="15" hidden="1" customHeight="1" x14ac:dyDescent="0.2">
      <c r="A510" s="3" t="s">
        <v>237</v>
      </c>
      <c r="B510" s="5">
        <v>45219</v>
      </c>
      <c r="C510" s="3">
        <v>0.47916666666666669</v>
      </c>
      <c r="D510" s="5">
        <v>45219</v>
      </c>
      <c r="E510" s="3">
        <v>0.52083333333333337</v>
      </c>
      <c r="F510" t="b">
        <v>0</v>
      </c>
      <c r="G510" s="3" t="s">
        <v>238</v>
      </c>
      <c r="H510" s="3" t="s">
        <v>242</v>
      </c>
      <c r="I510" t="b">
        <v>0</v>
      </c>
    </row>
    <row r="511" spans="1:9" ht="15" hidden="1" customHeight="1" x14ac:dyDescent="0.2">
      <c r="A511" s="3" t="s">
        <v>237</v>
      </c>
      <c r="B511" s="5">
        <v>45222</v>
      </c>
      <c r="C511" s="3">
        <v>0.39583333333333331</v>
      </c>
      <c r="D511" s="5">
        <v>45222</v>
      </c>
      <c r="E511" s="3">
        <v>0.4375</v>
      </c>
      <c r="F511" t="b">
        <v>0</v>
      </c>
      <c r="G511" s="3" t="s">
        <v>238</v>
      </c>
      <c r="H511" s="3" t="s">
        <v>242</v>
      </c>
      <c r="I511" t="b">
        <v>0</v>
      </c>
    </row>
    <row r="512" spans="1:9" ht="15" hidden="1" customHeight="1" x14ac:dyDescent="0.2">
      <c r="A512" s="3" t="s">
        <v>237</v>
      </c>
      <c r="B512" s="5">
        <v>45224</v>
      </c>
      <c r="C512" s="3">
        <v>0.4375</v>
      </c>
      <c r="D512" s="5">
        <v>45224</v>
      </c>
      <c r="E512" s="3">
        <v>0.47916666666666669</v>
      </c>
      <c r="F512" t="b">
        <v>0</v>
      </c>
      <c r="G512" s="3" t="s">
        <v>238</v>
      </c>
      <c r="H512" s="3" t="s">
        <v>242</v>
      </c>
      <c r="I512" t="b">
        <v>0</v>
      </c>
    </row>
    <row r="513" spans="1:9" ht="15" hidden="1" customHeight="1" x14ac:dyDescent="0.2">
      <c r="A513" s="3" t="s">
        <v>237</v>
      </c>
      <c r="B513" s="5">
        <v>45226</v>
      </c>
      <c r="C513" s="3">
        <v>0.47916666666666669</v>
      </c>
      <c r="D513" s="5">
        <v>45226</v>
      </c>
      <c r="E513" s="3">
        <v>0.52083333333333337</v>
      </c>
      <c r="F513" t="b">
        <v>0</v>
      </c>
      <c r="G513" s="3" t="s">
        <v>238</v>
      </c>
      <c r="H513" s="3" t="s">
        <v>242</v>
      </c>
      <c r="I513" t="b">
        <v>0</v>
      </c>
    </row>
    <row r="514" spans="1:9" ht="15" hidden="1" customHeight="1" x14ac:dyDescent="0.2">
      <c r="A514" s="3" t="s">
        <v>237</v>
      </c>
      <c r="B514" s="5">
        <v>45229</v>
      </c>
      <c r="C514" s="3">
        <v>0.39583333333333331</v>
      </c>
      <c r="D514" s="5">
        <v>45229</v>
      </c>
      <c r="E514" s="3">
        <v>0.4375</v>
      </c>
      <c r="F514" t="b">
        <v>0</v>
      </c>
      <c r="G514" s="3" t="s">
        <v>238</v>
      </c>
      <c r="H514" s="3" t="s">
        <v>242</v>
      </c>
      <c r="I514" t="b">
        <v>0</v>
      </c>
    </row>
    <row r="515" spans="1:9" ht="15" hidden="1" customHeight="1" x14ac:dyDescent="0.2">
      <c r="A515" s="3" t="s">
        <v>237</v>
      </c>
      <c r="B515" s="5">
        <v>45231</v>
      </c>
      <c r="C515" s="3">
        <v>0.4375</v>
      </c>
      <c r="D515" s="5">
        <v>45231</v>
      </c>
      <c r="E515" s="3">
        <v>0.47916666666666669</v>
      </c>
      <c r="F515" t="b">
        <v>0</v>
      </c>
      <c r="G515" s="3" t="s">
        <v>238</v>
      </c>
      <c r="H515" s="3" t="s">
        <v>242</v>
      </c>
      <c r="I515" t="b">
        <v>0</v>
      </c>
    </row>
    <row r="516" spans="1:9" ht="15" hidden="1" customHeight="1" x14ac:dyDescent="0.2">
      <c r="A516" s="3" t="s">
        <v>237</v>
      </c>
      <c r="B516" s="5">
        <v>45233</v>
      </c>
      <c r="C516" s="3">
        <v>0.47916666666666669</v>
      </c>
      <c r="D516" s="5">
        <v>45233</v>
      </c>
      <c r="E516" s="3">
        <v>0.52083333333333337</v>
      </c>
      <c r="F516" t="b">
        <v>0</v>
      </c>
      <c r="G516" s="3" t="s">
        <v>238</v>
      </c>
      <c r="H516" s="3" t="s">
        <v>242</v>
      </c>
      <c r="I516" t="b">
        <v>0</v>
      </c>
    </row>
    <row r="517" spans="1:9" ht="15" hidden="1" customHeight="1" x14ac:dyDescent="0.2">
      <c r="A517" s="3" t="s">
        <v>237</v>
      </c>
      <c r="B517" s="5">
        <v>45236</v>
      </c>
      <c r="C517" s="3">
        <v>0.39583333333333331</v>
      </c>
      <c r="D517" s="5">
        <v>45236</v>
      </c>
      <c r="E517" s="3">
        <v>0.4375</v>
      </c>
      <c r="F517" t="b">
        <v>0</v>
      </c>
      <c r="G517" s="3" t="s">
        <v>238</v>
      </c>
      <c r="H517" s="3" t="s">
        <v>242</v>
      </c>
      <c r="I517" t="b">
        <v>0</v>
      </c>
    </row>
    <row r="518" spans="1:9" ht="15" hidden="1" customHeight="1" x14ac:dyDescent="0.2">
      <c r="A518" s="3" t="s">
        <v>237</v>
      </c>
      <c r="B518" s="5">
        <v>45238</v>
      </c>
      <c r="C518" s="3">
        <v>0.4375</v>
      </c>
      <c r="D518" s="5">
        <v>45238</v>
      </c>
      <c r="E518" s="3">
        <v>0.47916666666666669</v>
      </c>
      <c r="F518" t="b">
        <v>0</v>
      </c>
      <c r="G518" s="3" t="s">
        <v>238</v>
      </c>
      <c r="H518" s="3" t="s">
        <v>242</v>
      </c>
      <c r="I518" t="b">
        <v>0</v>
      </c>
    </row>
    <row r="519" spans="1:9" ht="15" hidden="1" customHeight="1" x14ac:dyDescent="0.2">
      <c r="A519" s="3" t="s">
        <v>237</v>
      </c>
      <c r="B519" s="5">
        <v>45240</v>
      </c>
      <c r="C519" s="3">
        <v>0.47916666666666669</v>
      </c>
      <c r="D519" s="5">
        <v>45240</v>
      </c>
      <c r="E519" s="3">
        <v>0.52083333333333337</v>
      </c>
      <c r="F519" t="b">
        <v>0</v>
      </c>
      <c r="G519" s="3" t="s">
        <v>238</v>
      </c>
      <c r="H519" s="3" t="s">
        <v>242</v>
      </c>
      <c r="I519" t="b">
        <v>0</v>
      </c>
    </row>
    <row r="520" spans="1:9" ht="15" hidden="1" customHeight="1" x14ac:dyDescent="0.2">
      <c r="A520" t="s">
        <v>225</v>
      </c>
      <c r="B520" s="5">
        <v>45194</v>
      </c>
      <c r="C520" s="3">
        <v>0.4375</v>
      </c>
      <c r="D520" s="5">
        <v>45194</v>
      </c>
      <c r="E520" s="3">
        <v>0.47916666666666669</v>
      </c>
      <c r="F520" t="b">
        <v>0</v>
      </c>
      <c r="G520" s="4" t="s">
        <v>226</v>
      </c>
      <c r="H520" t="s">
        <v>127</v>
      </c>
      <c r="I520" t="b">
        <v>0</v>
      </c>
    </row>
    <row r="521" spans="1:9" ht="15" hidden="1" customHeight="1" x14ac:dyDescent="0.2">
      <c r="A521" t="s">
        <v>168</v>
      </c>
      <c r="B521" s="5">
        <v>45196</v>
      </c>
      <c r="C521" s="3">
        <v>0.39583333333333331</v>
      </c>
      <c r="D521" s="5">
        <v>45196</v>
      </c>
      <c r="E521" s="3">
        <v>0.4375</v>
      </c>
      <c r="F521" t="b">
        <v>0</v>
      </c>
      <c r="G521" s="4" t="s">
        <v>169</v>
      </c>
      <c r="H521" t="s">
        <v>125</v>
      </c>
      <c r="I521" t="b">
        <v>0</v>
      </c>
    </row>
    <row r="522" spans="1:9" ht="15" hidden="1" customHeight="1" x14ac:dyDescent="0.2">
      <c r="A522" t="s">
        <v>168</v>
      </c>
      <c r="B522" s="5">
        <v>45198</v>
      </c>
      <c r="C522" s="3">
        <v>0.4375</v>
      </c>
      <c r="D522" s="5">
        <v>45198</v>
      </c>
      <c r="E522" s="3">
        <v>0.47916666666666669</v>
      </c>
      <c r="F522" t="b">
        <v>0</v>
      </c>
      <c r="G522" s="4" t="s">
        <v>169</v>
      </c>
      <c r="H522" t="s">
        <v>125</v>
      </c>
      <c r="I522" t="b">
        <v>0</v>
      </c>
    </row>
    <row r="523" spans="1:9" ht="15" hidden="1" customHeight="1" x14ac:dyDescent="0.2">
      <c r="A523" t="s">
        <v>168</v>
      </c>
      <c r="B523" s="5">
        <v>45201</v>
      </c>
      <c r="C523" s="3">
        <v>0.35416666666666669</v>
      </c>
      <c r="D523" s="5">
        <v>45201</v>
      </c>
      <c r="E523" s="3">
        <v>0.39583333333333331</v>
      </c>
      <c r="F523" t="b">
        <v>0</v>
      </c>
      <c r="G523" s="4" t="s">
        <v>169</v>
      </c>
      <c r="H523" t="s">
        <v>125</v>
      </c>
      <c r="I523" t="b">
        <v>0</v>
      </c>
    </row>
    <row r="524" spans="1:9" ht="15" hidden="1" customHeight="1" x14ac:dyDescent="0.2">
      <c r="A524" t="s">
        <v>168</v>
      </c>
      <c r="B524" s="5">
        <v>45203</v>
      </c>
      <c r="C524" s="3">
        <v>0.39583333333333331</v>
      </c>
      <c r="D524" s="5">
        <v>45203</v>
      </c>
      <c r="E524" s="3">
        <v>0.4375</v>
      </c>
      <c r="F524" t="b">
        <v>0</v>
      </c>
      <c r="G524" s="4" t="s">
        <v>169</v>
      </c>
      <c r="H524" t="s">
        <v>125</v>
      </c>
      <c r="I524" t="b">
        <v>0</v>
      </c>
    </row>
    <row r="525" spans="1:9" ht="15" hidden="1" customHeight="1" x14ac:dyDescent="0.2">
      <c r="A525" t="s">
        <v>168</v>
      </c>
      <c r="B525" s="5">
        <v>45205</v>
      </c>
      <c r="C525" s="3">
        <v>0.4375</v>
      </c>
      <c r="D525" s="5">
        <v>45205</v>
      </c>
      <c r="E525" s="3">
        <v>0.47916666666666669</v>
      </c>
      <c r="F525" t="b">
        <v>0</v>
      </c>
      <c r="G525" s="4" t="s">
        <v>169</v>
      </c>
      <c r="H525" t="s">
        <v>125</v>
      </c>
      <c r="I525" t="b">
        <v>0</v>
      </c>
    </row>
    <row r="526" spans="1:9" ht="15" hidden="1" customHeight="1" x14ac:dyDescent="0.2">
      <c r="A526" t="s">
        <v>168</v>
      </c>
      <c r="B526" s="5">
        <v>45208</v>
      </c>
      <c r="C526" s="3">
        <v>0.35416666666666669</v>
      </c>
      <c r="D526" s="5">
        <v>45208</v>
      </c>
      <c r="E526" s="3">
        <v>0.39583333333333331</v>
      </c>
      <c r="F526" t="b">
        <v>0</v>
      </c>
      <c r="G526" s="4" t="s">
        <v>169</v>
      </c>
      <c r="H526" t="s">
        <v>125</v>
      </c>
      <c r="I526" t="b">
        <v>0</v>
      </c>
    </row>
    <row r="527" spans="1:9" ht="15" hidden="1" customHeight="1" x14ac:dyDescent="0.2">
      <c r="A527" t="s">
        <v>168</v>
      </c>
      <c r="B527" s="5">
        <v>45210</v>
      </c>
      <c r="C527" s="3">
        <v>0.39583333333333331</v>
      </c>
      <c r="D527" s="5">
        <v>45210</v>
      </c>
      <c r="E527" s="3">
        <v>0.4375</v>
      </c>
      <c r="F527" t="b">
        <v>0</v>
      </c>
      <c r="G527" s="4" t="s">
        <v>169</v>
      </c>
      <c r="H527" t="s">
        <v>125</v>
      </c>
      <c r="I527" t="b">
        <v>0</v>
      </c>
    </row>
    <row r="528" spans="1:9" ht="15" hidden="1" customHeight="1" x14ac:dyDescent="0.2">
      <c r="A528" t="s">
        <v>168</v>
      </c>
      <c r="B528" s="5">
        <v>45212</v>
      </c>
      <c r="C528" s="3">
        <v>0.4375</v>
      </c>
      <c r="D528" s="5">
        <v>45212</v>
      </c>
      <c r="E528" s="3">
        <v>0.47916666666666669</v>
      </c>
      <c r="F528" t="b">
        <v>0</v>
      </c>
      <c r="G528" s="4" t="s">
        <v>169</v>
      </c>
      <c r="H528" t="s">
        <v>125</v>
      </c>
      <c r="I528" t="b">
        <v>0</v>
      </c>
    </row>
    <row r="529" spans="1:9" ht="15" hidden="1" customHeight="1" x14ac:dyDescent="0.2">
      <c r="A529" t="s">
        <v>168</v>
      </c>
      <c r="B529" s="5">
        <v>45215</v>
      </c>
      <c r="C529" s="3">
        <v>0.35416666666666669</v>
      </c>
      <c r="D529" s="5">
        <v>45215</v>
      </c>
      <c r="E529" s="3">
        <v>0.39583333333333331</v>
      </c>
      <c r="F529" t="b">
        <v>0</v>
      </c>
      <c r="G529" s="4" t="s">
        <v>169</v>
      </c>
      <c r="H529" t="s">
        <v>125</v>
      </c>
      <c r="I529" t="b">
        <v>0</v>
      </c>
    </row>
    <row r="530" spans="1:9" ht="15" hidden="1" customHeight="1" x14ac:dyDescent="0.2">
      <c r="A530" t="s">
        <v>168</v>
      </c>
      <c r="B530" s="5">
        <v>45217</v>
      </c>
      <c r="C530" s="3">
        <v>0.39583333333333331</v>
      </c>
      <c r="D530" s="5">
        <v>45217</v>
      </c>
      <c r="E530" s="3">
        <v>0.4375</v>
      </c>
      <c r="F530" t="b">
        <v>0</v>
      </c>
      <c r="G530" s="4" t="s">
        <v>169</v>
      </c>
      <c r="H530" t="s">
        <v>125</v>
      </c>
      <c r="I530" t="b">
        <v>0</v>
      </c>
    </row>
    <row r="531" spans="1:9" ht="15" hidden="1" customHeight="1" x14ac:dyDescent="0.2">
      <c r="A531" t="s">
        <v>168</v>
      </c>
      <c r="B531" s="5">
        <v>45219</v>
      </c>
      <c r="C531" s="3">
        <v>0.4375</v>
      </c>
      <c r="D531" s="5">
        <v>45219</v>
      </c>
      <c r="E531" s="3">
        <v>0.47916666666666669</v>
      </c>
      <c r="F531" t="b">
        <v>0</v>
      </c>
      <c r="G531" s="4" t="s">
        <v>169</v>
      </c>
      <c r="H531" t="s">
        <v>125</v>
      </c>
      <c r="I531" t="b">
        <v>0</v>
      </c>
    </row>
    <row r="532" spans="1:9" ht="15" hidden="1" customHeight="1" x14ac:dyDescent="0.2">
      <c r="A532" t="s">
        <v>168</v>
      </c>
      <c r="B532" s="5">
        <v>45222</v>
      </c>
      <c r="C532" s="3">
        <v>0.35416666666666669</v>
      </c>
      <c r="D532" s="5">
        <v>45222</v>
      </c>
      <c r="E532" s="3">
        <v>0.39583333333333331</v>
      </c>
      <c r="F532" t="b">
        <v>0</v>
      </c>
      <c r="G532" s="4" t="s">
        <v>169</v>
      </c>
      <c r="H532" t="s">
        <v>125</v>
      </c>
      <c r="I532" t="b">
        <v>0</v>
      </c>
    </row>
    <row r="533" spans="1:9" ht="15" hidden="1" customHeight="1" x14ac:dyDescent="0.2">
      <c r="A533" t="s">
        <v>168</v>
      </c>
      <c r="B533" s="5">
        <v>45224</v>
      </c>
      <c r="C533" s="3">
        <v>0.39583333333333331</v>
      </c>
      <c r="D533" s="5">
        <v>45224</v>
      </c>
      <c r="E533" s="3">
        <v>0.4375</v>
      </c>
      <c r="F533" t="b">
        <v>0</v>
      </c>
      <c r="G533" s="4" t="s">
        <v>169</v>
      </c>
      <c r="H533" t="s">
        <v>125</v>
      </c>
      <c r="I533" t="b">
        <v>0</v>
      </c>
    </row>
    <row r="534" spans="1:9" ht="15" hidden="1" customHeight="1" x14ac:dyDescent="0.2">
      <c r="A534" t="s">
        <v>168</v>
      </c>
      <c r="B534" s="5">
        <v>45226</v>
      </c>
      <c r="C534" s="3">
        <v>0.4375</v>
      </c>
      <c r="D534" s="5">
        <v>45226</v>
      </c>
      <c r="E534" s="3">
        <v>0.47916666666666669</v>
      </c>
      <c r="F534" t="b">
        <v>0</v>
      </c>
      <c r="G534" s="4" t="s">
        <v>169</v>
      </c>
      <c r="H534" t="s">
        <v>125</v>
      </c>
      <c r="I534" t="b">
        <v>0</v>
      </c>
    </row>
    <row r="535" spans="1:9" ht="15" hidden="1" customHeight="1" x14ac:dyDescent="0.2">
      <c r="A535" t="s">
        <v>168</v>
      </c>
      <c r="B535" s="5">
        <v>45229</v>
      </c>
      <c r="C535" s="3">
        <v>0.35416666666666669</v>
      </c>
      <c r="D535" s="5">
        <v>45229</v>
      </c>
      <c r="E535" s="3">
        <v>0.39583333333333331</v>
      </c>
      <c r="F535" t="b">
        <v>0</v>
      </c>
      <c r="G535" s="4" t="s">
        <v>169</v>
      </c>
      <c r="H535" t="s">
        <v>125</v>
      </c>
      <c r="I535" t="b">
        <v>0</v>
      </c>
    </row>
    <row r="536" spans="1:9" ht="15" hidden="1" customHeight="1" x14ac:dyDescent="0.2">
      <c r="A536" t="s">
        <v>168</v>
      </c>
      <c r="B536" s="5">
        <v>45231</v>
      </c>
      <c r="C536" s="3">
        <v>0.39583333333333331</v>
      </c>
      <c r="D536" s="5">
        <v>45231</v>
      </c>
      <c r="E536" s="3">
        <v>0.4375</v>
      </c>
      <c r="F536" t="b">
        <v>0</v>
      </c>
      <c r="G536" s="4" t="s">
        <v>169</v>
      </c>
      <c r="H536" t="s">
        <v>125</v>
      </c>
      <c r="I536" t="b">
        <v>0</v>
      </c>
    </row>
    <row r="537" spans="1:9" ht="15" hidden="1" customHeight="1" x14ac:dyDescent="0.2">
      <c r="A537" t="s">
        <v>168</v>
      </c>
      <c r="B537" s="5">
        <v>45233</v>
      </c>
      <c r="C537" s="3">
        <v>0.4375</v>
      </c>
      <c r="D537" s="5">
        <v>45233</v>
      </c>
      <c r="E537" s="3">
        <v>0.47916666666666669</v>
      </c>
      <c r="F537" t="b">
        <v>0</v>
      </c>
      <c r="G537" s="4" t="s">
        <v>169</v>
      </c>
      <c r="H537" t="s">
        <v>125</v>
      </c>
      <c r="I537" t="b">
        <v>0</v>
      </c>
    </row>
    <row r="538" spans="1:9" ht="15" hidden="1" customHeight="1" x14ac:dyDescent="0.2">
      <c r="A538" t="s">
        <v>168</v>
      </c>
      <c r="B538" s="5">
        <v>45236</v>
      </c>
      <c r="C538" s="3">
        <v>0.35416666666666669</v>
      </c>
      <c r="D538" s="5">
        <v>45236</v>
      </c>
      <c r="E538" s="3">
        <v>0.39583333333333331</v>
      </c>
      <c r="F538" t="b">
        <v>0</v>
      </c>
      <c r="G538" s="4" t="s">
        <v>169</v>
      </c>
      <c r="H538" t="s">
        <v>125</v>
      </c>
      <c r="I538" t="b">
        <v>0</v>
      </c>
    </row>
    <row r="539" spans="1:9" ht="15" hidden="1" customHeight="1" x14ac:dyDescent="0.2">
      <c r="A539" t="s">
        <v>168</v>
      </c>
      <c r="B539" s="5">
        <v>45238</v>
      </c>
      <c r="C539" s="3">
        <v>0.39583333333333331</v>
      </c>
      <c r="D539" s="5">
        <v>45238</v>
      </c>
      <c r="E539" s="3">
        <v>0.4375</v>
      </c>
      <c r="F539" t="b">
        <v>0</v>
      </c>
      <c r="G539" s="4" t="s">
        <v>169</v>
      </c>
      <c r="H539" t="s">
        <v>125</v>
      </c>
      <c r="I539" t="b">
        <v>0</v>
      </c>
    </row>
    <row r="540" spans="1:9" ht="15" hidden="1" customHeight="1" x14ac:dyDescent="0.2">
      <c r="A540" t="s">
        <v>168</v>
      </c>
      <c r="B540" s="5">
        <v>45240</v>
      </c>
      <c r="C540" s="3">
        <v>0.4375</v>
      </c>
      <c r="D540" s="5">
        <v>45240</v>
      </c>
      <c r="E540" s="3">
        <v>0.47916666666666669</v>
      </c>
      <c r="F540" t="b">
        <v>0</v>
      </c>
      <c r="G540" s="4" t="s">
        <v>169</v>
      </c>
      <c r="H540" t="s">
        <v>125</v>
      </c>
      <c r="I540" t="b">
        <v>0</v>
      </c>
    </row>
    <row r="541" spans="1:9" ht="15" hidden="1" customHeight="1" x14ac:dyDescent="0.2">
      <c r="A541" t="s">
        <v>225</v>
      </c>
      <c r="B541" s="5">
        <v>45194</v>
      </c>
      <c r="C541" s="3">
        <v>0.4375</v>
      </c>
      <c r="D541" s="5">
        <v>45194</v>
      </c>
      <c r="E541" s="3">
        <v>0.47916666666666669</v>
      </c>
      <c r="F541" t="b">
        <v>0</v>
      </c>
      <c r="G541" s="4" t="s">
        <v>226</v>
      </c>
      <c r="H541" t="s">
        <v>224</v>
      </c>
      <c r="I541" t="b">
        <v>0</v>
      </c>
    </row>
    <row r="542" spans="1:9" ht="15" hidden="1" customHeight="1" x14ac:dyDescent="0.2">
      <c r="A542" t="s">
        <v>170</v>
      </c>
      <c r="B542" s="5">
        <v>45196</v>
      </c>
      <c r="C542" s="3">
        <v>0.4375</v>
      </c>
      <c r="D542" s="5">
        <v>45196</v>
      </c>
      <c r="E542" s="3">
        <v>0.47916666666666669</v>
      </c>
      <c r="F542" t="b">
        <v>0</v>
      </c>
      <c r="G542" s="4" t="s">
        <v>171</v>
      </c>
      <c r="H542" t="s">
        <v>125</v>
      </c>
      <c r="I542" t="b">
        <v>0</v>
      </c>
    </row>
    <row r="543" spans="1:9" ht="15" hidden="1" customHeight="1" x14ac:dyDescent="0.2">
      <c r="A543" t="s">
        <v>170</v>
      </c>
      <c r="B543" s="5">
        <v>45198</v>
      </c>
      <c r="C543" s="3">
        <v>0.47916666666666669</v>
      </c>
      <c r="D543" s="5">
        <v>45198</v>
      </c>
      <c r="E543" s="3">
        <v>0.52083333333333337</v>
      </c>
      <c r="F543" t="b">
        <v>0</v>
      </c>
      <c r="G543" s="4" t="s">
        <v>171</v>
      </c>
      <c r="H543" t="s">
        <v>125</v>
      </c>
      <c r="I543" t="b">
        <v>0</v>
      </c>
    </row>
    <row r="544" spans="1:9" ht="15" hidden="1" customHeight="1" x14ac:dyDescent="0.2">
      <c r="A544" t="s">
        <v>170</v>
      </c>
      <c r="B544" s="5">
        <v>45201</v>
      </c>
      <c r="C544" s="3">
        <v>0.39583333333333331</v>
      </c>
      <c r="D544" s="5">
        <v>45201</v>
      </c>
      <c r="E544" s="3">
        <v>0.4375</v>
      </c>
      <c r="F544" t="b">
        <v>0</v>
      </c>
      <c r="G544" s="4" t="s">
        <v>171</v>
      </c>
      <c r="H544" t="s">
        <v>125</v>
      </c>
      <c r="I544" t="b">
        <v>0</v>
      </c>
    </row>
    <row r="545" spans="1:9" ht="15" hidden="1" customHeight="1" x14ac:dyDescent="0.2">
      <c r="A545" t="s">
        <v>170</v>
      </c>
      <c r="B545" s="5">
        <v>45203</v>
      </c>
      <c r="C545" s="3">
        <v>0.4375</v>
      </c>
      <c r="D545" s="5">
        <v>45203</v>
      </c>
      <c r="E545" s="3">
        <v>0.47916666666666669</v>
      </c>
      <c r="F545" t="b">
        <v>0</v>
      </c>
      <c r="G545" s="4" t="s">
        <v>171</v>
      </c>
      <c r="H545" t="s">
        <v>125</v>
      </c>
      <c r="I545" t="b">
        <v>0</v>
      </c>
    </row>
    <row r="546" spans="1:9" ht="15" hidden="1" customHeight="1" x14ac:dyDescent="0.2">
      <c r="A546" t="s">
        <v>170</v>
      </c>
      <c r="B546" s="5">
        <v>45205</v>
      </c>
      <c r="C546" s="3">
        <v>0.47916666666666669</v>
      </c>
      <c r="D546" s="5">
        <v>45205</v>
      </c>
      <c r="E546" s="3">
        <v>0.52083333333333337</v>
      </c>
      <c r="F546" t="b">
        <v>0</v>
      </c>
      <c r="G546" s="4" t="s">
        <v>171</v>
      </c>
      <c r="H546" t="s">
        <v>125</v>
      </c>
      <c r="I546" t="b">
        <v>0</v>
      </c>
    </row>
    <row r="547" spans="1:9" ht="15" hidden="1" customHeight="1" x14ac:dyDescent="0.2">
      <c r="A547" t="s">
        <v>170</v>
      </c>
      <c r="B547" s="5">
        <v>45208</v>
      </c>
      <c r="C547" s="3">
        <v>0.39583333333333331</v>
      </c>
      <c r="D547" s="5">
        <v>45208</v>
      </c>
      <c r="E547" s="3">
        <v>0.4375</v>
      </c>
      <c r="F547" t="b">
        <v>0</v>
      </c>
      <c r="G547" s="4" t="s">
        <v>171</v>
      </c>
      <c r="H547" t="s">
        <v>125</v>
      </c>
      <c r="I547" t="b">
        <v>0</v>
      </c>
    </row>
    <row r="548" spans="1:9" ht="15" hidden="1" customHeight="1" x14ac:dyDescent="0.2">
      <c r="A548" t="s">
        <v>170</v>
      </c>
      <c r="B548" s="5">
        <v>45210</v>
      </c>
      <c r="C548" s="3">
        <v>0.4375</v>
      </c>
      <c r="D548" s="5">
        <v>45210</v>
      </c>
      <c r="E548" s="3">
        <v>0.47916666666666669</v>
      </c>
      <c r="F548" t="b">
        <v>0</v>
      </c>
      <c r="G548" s="4" t="s">
        <v>171</v>
      </c>
      <c r="H548" t="s">
        <v>125</v>
      </c>
      <c r="I548" t="b">
        <v>0</v>
      </c>
    </row>
    <row r="549" spans="1:9" ht="15" hidden="1" customHeight="1" x14ac:dyDescent="0.2">
      <c r="A549" t="s">
        <v>170</v>
      </c>
      <c r="B549" s="5">
        <v>45212</v>
      </c>
      <c r="C549" s="3">
        <v>0.47916666666666669</v>
      </c>
      <c r="D549" s="5">
        <v>45212</v>
      </c>
      <c r="E549" s="3">
        <v>0.52083333333333337</v>
      </c>
      <c r="F549" t="b">
        <v>0</v>
      </c>
      <c r="G549" s="4" t="s">
        <v>171</v>
      </c>
      <c r="H549" t="s">
        <v>125</v>
      </c>
      <c r="I549" t="b">
        <v>0</v>
      </c>
    </row>
    <row r="550" spans="1:9" ht="15" hidden="1" customHeight="1" x14ac:dyDescent="0.2">
      <c r="A550" t="s">
        <v>170</v>
      </c>
      <c r="B550" s="5">
        <v>45215</v>
      </c>
      <c r="C550" s="3">
        <v>0.39583333333333331</v>
      </c>
      <c r="D550" s="5">
        <v>45215</v>
      </c>
      <c r="E550" s="3">
        <v>0.4375</v>
      </c>
      <c r="F550" t="b">
        <v>0</v>
      </c>
      <c r="G550" s="4" t="s">
        <v>171</v>
      </c>
      <c r="H550" t="s">
        <v>125</v>
      </c>
      <c r="I550" t="b">
        <v>0</v>
      </c>
    </row>
    <row r="551" spans="1:9" ht="15" hidden="1" customHeight="1" x14ac:dyDescent="0.2">
      <c r="A551" t="s">
        <v>170</v>
      </c>
      <c r="B551" s="5">
        <v>45217</v>
      </c>
      <c r="C551" s="3">
        <v>0.4375</v>
      </c>
      <c r="D551" s="5">
        <v>45217</v>
      </c>
      <c r="E551" s="3">
        <v>0.47916666666666669</v>
      </c>
      <c r="F551" t="b">
        <v>0</v>
      </c>
      <c r="G551" s="4" t="s">
        <v>171</v>
      </c>
      <c r="H551" t="s">
        <v>125</v>
      </c>
      <c r="I551" t="b">
        <v>0</v>
      </c>
    </row>
    <row r="552" spans="1:9" ht="15" hidden="1" customHeight="1" x14ac:dyDescent="0.2">
      <c r="A552" t="s">
        <v>170</v>
      </c>
      <c r="B552" s="5">
        <v>45219</v>
      </c>
      <c r="C552" s="3">
        <v>0.47916666666666669</v>
      </c>
      <c r="D552" s="5">
        <v>45219</v>
      </c>
      <c r="E552" s="3">
        <v>0.52083333333333337</v>
      </c>
      <c r="F552" t="b">
        <v>0</v>
      </c>
      <c r="G552" s="4" t="s">
        <v>171</v>
      </c>
      <c r="H552" t="s">
        <v>125</v>
      </c>
      <c r="I552" t="b">
        <v>0</v>
      </c>
    </row>
    <row r="553" spans="1:9" ht="15" hidden="1" customHeight="1" x14ac:dyDescent="0.2">
      <c r="A553" t="s">
        <v>170</v>
      </c>
      <c r="B553" s="5">
        <v>45222</v>
      </c>
      <c r="C553" s="3">
        <v>0.39583333333333331</v>
      </c>
      <c r="D553" s="5">
        <v>45222</v>
      </c>
      <c r="E553" s="3">
        <v>0.4375</v>
      </c>
      <c r="F553" t="b">
        <v>0</v>
      </c>
      <c r="G553" s="4" t="s">
        <v>171</v>
      </c>
      <c r="H553" t="s">
        <v>125</v>
      </c>
      <c r="I553" t="b">
        <v>0</v>
      </c>
    </row>
    <row r="554" spans="1:9" ht="15" hidden="1" customHeight="1" x14ac:dyDescent="0.2">
      <c r="A554" t="s">
        <v>170</v>
      </c>
      <c r="B554" s="5">
        <v>45224</v>
      </c>
      <c r="C554" s="3">
        <v>0.4375</v>
      </c>
      <c r="D554" s="5">
        <v>45224</v>
      </c>
      <c r="E554" s="3">
        <v>0.47916666666666669</v>
      </c>
      <c r="F554" t="b">
        <v>0</v>
      </c>
      <c r="G554" s="4" t="s">
        <v>171</v>
      </c>
      <c r="H554" t="s">
        <v>125</v>
      </c>
      <c r="I554" t="b">
        <v>0</v>
      </c>
    </row>
    <row r="555" spans="1:9" ht="15" hidden="1" customHeight="1" x14ac:dyDescent="0.2">
      <c r="A555" t="s">
        <v>170</v>
      </c>
      <c r="B555" s="5">
        <v>45226</v>
      </c>
      <c r="C555" s="3">
        <v>0.47916666666666669</v>
      </c>
      <c r="D555" s="5">
        <v>45226</v>
      </c>
      <c r="E555" s="3">
        <v>0.52083333333333337</v>
      </c>
      <c r="F555" t="b">
        <v>0</v>
      </c>
      <c r="G555" s="4" t="s">
        <v>171</v>
      </c>
      <c r="H555" t="s">
        <v>125</v>
      </c>
      <c r="I555" t="b">
        <v>0</v>
      </c>
    </row>
    <row r="556" spans="1:9" ht="15" hidden="1" customHeight="1" x14ac:dyDescent="0.2">
      <c r="A556" t="s">
        <v>170</v>
      </c>
      <c r="B556" s="5">
        <v>45229</v>
      </c>
      <c r="C556" s="3">
        <v>0.39583333333333331</v>
      </c>
      <c r="D556" s="5">
        <v>45229</v>
      </c>
      <c r="E556" s="3">
        <v>0.4375</v>
      </c>
      <c r="F556" t="b">
        <v>0</v>
      </c>
      <c r="G556" s="4" t="s">
        <v>171</v>
      </c>
      <c r="H556" t="s">
        <v>125</v>
      </c>
      <c r="I556" t="b">
        <v>0</v>
      </c>
    </row>
    <row r="557" spans="1:9" ht="15" hidden="1" customHeight="1" x14ac:dyDescent="0.2">
      <c r="A557" t="s">
        <v>170</v>
      </c>
      <c r="B557" s="5">
        <v>45231</v>
      </c>
      <c r="C557" s="3">
        <v>0.4375</v>
      </c>
      <c r="D557" s="5">
        <v>45231</v>
      </c>
      <c r="E557" s="3">
        <v>0.47916666666666669</v>
      </c>
      <c r="F557" t="b">
        <v>0</v>
      </c>
      <c r="G557" s="4" t="s">
        <v>171</v>
      </c>
      <c r="H557" t="s">
        <v>125</v>
      </c>
      <c r="I557" t="b">
        <v>0</v>
      </c>
    </row>
    <row r="558" spans="1:9" ht="15" hidden="1" customHeight="1" x14ac:dyDescent="0.2">
      <c r="A558" t="s">
        <v>170</v>
      </c>
      <c r="B558" s="5">
        <v>45233</v>
      </c>
      <c r="C558" s="3">
        <v>0.47916666666666669</v>
      </c>
      <c r="D558" s="5">
        <v>45233</v>
      </c>
      <c r="E558" s="3">
        <v>0.52083333333333337</v>
      </c>
      <c r="F558" t="b">
        <v>0</v>
      </c>
      <c r="G558" s="4" t="s">
        <v>171</v>
      </c>
      <c r="H558" t="s">
        <v>125</v>
      </c>
      <c r="I558" t="b">
        <v>0</v>
      </c>
    </row>
    <row r="559" spans="1:9" ht="15" hidden="1" customHeight="1" x14ac:dyDescent="0.2">
      <c r="A559" t="s">
        <v>170</v>
      </c>
      <c r="B559" s="5">
        <v>45236</v>
      </c>
      <c r="C559" s="3">
        <v>0.39583333333333331</v>
      </c>
      <c r="D559" s="5">
        <v>45236</v>
      </c>
      <c r="E559" s="3">
        <v>0.4375</v>
      </c>
      <c r="F559" t="b">
        <v>0</v>
      </c>
      <c r="G559" s="4" t="s">
        <v>171</v>
      </c>
      <c r="H559" t="s">
        <v>125</v>
      </c>
      <c r="I559" t="b">
        <v>0</v>
      </c>
    </row>
    <row r="560" spans="1:9" ht="15" hidden="1" customHeight="1" x14ac:dyDescent="0.2">
      <c r="A560" t="s">
        <v>170</v>
      </c>
      <c r="B560" s="5">
        <v>45238</v>
      </c>
      <c r="C560" s="3">
        <v>0.4375</v>
      </c>
      <c r="D560" s="5">
        <v>45238</v>
      </c>
      <c r="E560" s="3">
        <v>0.47916666666666669</v>
      </c>
      <c r="F560" t="b">
        <v>0</v>
      </c>
      <c r="G560" s="4" t="s">
        <v>171</v>
      </c>
      <c r="H560" t="s">
        <v>125</v>
      </c>
      <c r="I560" t="b">
        <v>0</v>
      </c>
    </row>
    <row r="561" spans="1:9" ht="15" hidden="1" customHeight="1" x14ac:dyDescent="0.2">
      <c r="A561" t="s">
        <v>170</v>
      </c>
      <c r="B561" s="5">
        <v>45240</v>
      </c>
      <c r="C561" s="3">
        <v>0.47916666666666669</v>
      </c>
      <c r="D561" s="5">
        <v>45240</v>
      </c>
      <c r="E561" s="3">
        <v>0.52083333333333337</v>
      </c>
      <c r="F561" t="b">
        <v>0</v>
      </c>
      <c r="G561" s="4" t="s">
        <v>171</v>
      </c>
      <c r="H561" t="s">
        <v>125</v>
      </c>
      <c r="I561" t="b">
        <v>0</v>
      </c>
    </row>
    <row r="562" spans="1:9" ht="15" hidden="1" customHeight="1" x14ac:dyDescent="0.2">
      <c r="A562" t="s">
        <v>136</v>
      </c>
      <c r="B562" s="5">
        <v>45194</v>
      </c>
      <c r="C562" s="3">
        <v>0.4375</v>
      </c>
      <c r="D562" s="5">
        <v>45194</v>
      </c>
      <c r="E562" s="3">
        <v>0.47916666666666669</v>
      </c>
      <c r="F562" t="b">
        <v>0</v>
      </c>
      <c r="G562" s="4" t="s">
        <v>137</v>
      </c>
      <c r="H562" t="s">
        <v>118</v>
      </c>
      <c r="I562" t="b">
        <v>0</v>
      </c>
    </row>
    <row r="563" spans="1:9" ht="15" hidden="1" customHeight="1" x14ac:dyDescent="0.2">
      <c r="A563" t="s">
        <v>174</v>
      </c>
      <c r="B563" s="5">
        <v>45195</v>
      </c>
      <c r="C563" s="3">
        <v>0.4375</v>
      </c>
      <c r="D563" s="5">
        <v>45195</v>
      </c>
      <c r="E563" s="3">
        <v>0.47916666666666669</v>
      </c>
      <c r="F563" t="b">
        <v>0</v>
      </c>
      <c r="G563" s="4" t="s">
        <v>175</v>
      </c>
      <c r="H563" t="s">
        <v>125</v>
      </c>
      <c r="I563" t="b">
        <v>0</v>
      </c>
    </row>
    <row r="564" spans="1:9" ht="15" hidden="1" customHeight="1" x14ac:dyDescent="0.2">
      <c r="A564" t="s">
        <v>174</v>
      </c>
      <c r="B564" s="5">
        <v>45197</v>
      </c>
      <c r="C564" s="3">
        <v>0.39583333333333331</v>
      </c>
      <c r="D564" s="5">
        <v>45197</v>
      </c>
      <c r="E564" s="3">
        <v>0.4375</v>
      </c>
      <c r="F564" t="b">
        <v>0</v>
      </c>
      <c r="G564" s="4" t="s">
        <v>175</v>
      </c>
      <c r="H564" t="s">
        <v>125</v>
      </c>
      <c r="I564" t="b">
        <v>0</v>
      </c>
    </row>
    <row r="565" spans="1:9" ht="15" hidden="1" customHeight="1" x14ac:dyDescent="0.2">
      <c r="A565" t="s">
        <v>174</v>
      </c>
      <c r="B565" s="5">
        <v>45201</v>
      </c>
      <c r="C565" s="3">
        <v>0.58333333333333337</v>
      </c>
      <c r="D565" s="5">
        <v>45201</v>
      </c>
      <c r="E565" s="3">
        <v>0.625</v>
      </c>
      <c r="F565" t="b">
        <v>0</v>
      </c>
      <c r="G565" s="4" t="s">
        <v>175</v>
      </c>
      <c r="H565" t="s">
        <v>125</v>
      </c>
      <c r="I565" t="b">
        <v>0</v>
      </c>
    </row>
    <row r="566" spans="1:9" ht="15" hidden="1" customHeight="1" x14ac:dyDescent="0.2">
      <c r="A566" t="s">
        <v>174</v>
      </c>
      <c r="B566" s="5">
        <v>45202</v>
      </c>
      <c r="C566" s="3">
        <v>0.4375</v>
      </c>
      <c r="D566" s="5">
        <v>45202</v>
      </c>
      <c r="E566" s="3">
        <v>0.47916666666666669</v>
      </c>
      <c r="F566" t="b">
        <v>0</v>
      </c>
      <c r="G566" s="4" t="s">
        <v>175</v>
      </c>
      <c r="H566" t="s">
        <v>125</v>
      </c>
      <c r="I566" t="b">
        <v>0</v>
      </c>
    </row>
    <row r="567" spans="1:9" ht="15" hidden="1" customHeight="1" x14ac:dyDescent="0.2">
      <c r="A567" t="s">
        <v>174</v>
      </c>
      <c r="B567" s="5">
        <v>45204</v>
      </c>
      <c r="C567" s="3">
        <v>0.39583333333333331</v>
      </c>
      <c r="D567" s="5">
        <v>45204</v>
      </c>
      <c r="E567" s="3">
        <v>0.4375</v>
      </c>
      <c r="F567" t="b">
        <v>0</v>
      </c>
      <c r="G567" s="4" t="s">
        <v>175</v>
      </c>
      <c r="H567" t="s">
        <v>125</v>
      </c>
      <c r="I567" t="b">
        <v>0</v>
      </c>
    </row>
    <row r="568" spans="1:9" ht="15" hidden="1" customHeight="1" x14ac:dyDescent="0.2">
      <c r="A568" t="s">
        <v>174</v>
      </c>
      <c r="B568" s="5">
        <v>45208</v>
      </c>
      <c r="C568" s="3">
        <v>0.58333333333333337</v>
      </c>
      <c r="D568" s="5">
        <v>45208</v>
      </c>
      <c r="E568" s="3">
        <v>0.625</v>
      </c>
      <c r="F568" t="b">
        <v>0</v>
      </c>
      <c r="G568" s="4" t="s">
        <v>175</v>
      </c>
      <c r="H568" t="s">
        <v>125</v>
      </c>
      <c r="I568" t="b">
        <v>0</v>
      </c>
    </row>
    <row r="569" spans="1:9" ht="15" hidden="1" customHeight="1" x14ac:dyDescent="0.2">
      <c r="A569" t="s">
        <v>174</v>
      </c>
      <c r="B569" s="5">
        <v>45209</v>
      </c>
      <c r="C569" s="3">
        <v>0.4375</v>
      </c>
      <c r="D569" s="5">
        <v>45209</v>
      </c>
      <c r="E569" s="3">
        <v>0.47916666666666669</v>
      </c>
      <c r="F569" t="b">
        <v>0</v>
      </c>
      <c r="G569" s="4" t="s">
        <v>175</v>
      </c>
      <c r="H569" t="s">
        <v>125</v>
      </c>
      <c r="I569" t="b">
        <v>0</v>
      </c>
    </row>
    <row r="570" spans="1:9" ht="15" hidden="1" customHeight="1" x14ac:dyDescent="0.2">
      <c r="A570" t="s">
        <v>174</v>
      </c>
      <c r="B570" s="5">
        <v>45211</v>
      </c>
      <c r="C570" s="3">
        <v>0.39583333333333331</v>
      </c>
      <c r="D570" s="5">
        <v>45211</v>
      </c>
      <c r="E570" s="3">
        <v>0.4375</v>
      </c>
      <c r="F570" t="b">
        <v>0</v>
      </c>
      <c r="G570" s="4" t="s">
        <v>175</v>
      </c>
      <c r="H570" t="s">
        <v>125</v>
      </c>
      <c r="I570" t="b">
        <v>0</v>
      </c>
    </row>
    <row r="571" spans="1:9" ht="15" hidden="1" customHeight="1" x14ac:dyDescent="0.2">
      <c r="A571" t="s">
        <v>174</v>
      </c>
      <c r="B571" s="5">
        <v>45215</v>
      </c>
      <c r="C571" s="3">
        <v>0.58333333333333337</v>
      </c>
      <c r="D571" s="5">
        <v>45215</v>
      </c>
      <c r="E571" s="3">
        <v>0.625</v>
      </c>
      <c r="F571" t="b">
        <v>0</v>
      </c>
      <c r="G571" s="4" t="s">
        <v>175</v>
      </c>
      <c r="H571" t="s">
        <v>125</v>
      </c>
      <c r="I571" t="b">
        <v>0</v>
      </c>
    </row>
    <row r="572" spans="1:9" ht="15" hidden="1" customHeight="1" x14ac:dyDescent="0.2">
      <c r="A572" t="s">
        <v>174</v>
      </c>
      <c r="B572" s="5">
        <v>45216</v>
      </c>
      <c r="C572" s="3">
        <v>0.4375</v>
      </c>
      <c r="D572" s="5">
        <v>45216</v>
      </c>
      <c r="E572" s="3">
        <v>0.47916666666666669</v>
      </c>
      <c r="F572" t="b">
        <v>0</v>
      </c>
      <c r="G572" s="4" t="s">
        <v>175</v>
      </c>
      <c r="H572" t="s">
        <v>125</v>
      </c>
      <c r="I572" t="b">
        <v>0</v>
      </c>
    </row>
    <row r="573" spans="1:9" ht="15" hidden="1" customHeight="1" x14ac:dyDescent="0.2">
      <c r="A573" t="s">
        <v>174</v>
      </c>
      <c r="B573" s="5">
        <v>45218</v>
      </c>
      <c r="C573" s="3">
        <v>0.39583333333333331</v>
      </c>
      <c r="D573" s="5">
        <v>45218</v>
      </c>
      <c r="E573" s="3">
        <v>0.4375</v>
      </c>
      <c r="F573" t="b">
        <v>0</v>
      </c>
      <c r="G573" s="4" t="s">
        <v>175</v>
      </c>
      <c r="H573" t="s">
        <v>125</v>
      </c>
      <c r="I573" t="b">
        <v>0</v>
      </c>
    </row>
    <row r="574" spans="1:9" ht="15" hidden="1" customHeight="1" x14ac:dyDescent="0.2">
      <c r="A574" t="s">
        <v>174</v>
      </c>
      <c r="B574" s="5">
        <v>45222</v>
      </c>
      <c r="C574" s="3">
        <v>0.58333333333333337</v>
      </c>
      <c r="D574" s="5">
        <v>45222</v>
      </c>
      <c r="E574" s="3">
        <v>0.625</v>
      </c>
      <c r="F574" t="b">
        <v>0</v>
      </c>
      <c r="G574" s="4" t="s">
        <v>175</v>
      </c>
      <c r="H574" t="s">
        <v>125</v>
      </c>
      <c r="I574" t="b">
        <v>0</v>
      </c>
    </row>
    <row r="575" spans="1:9" ht="15" hidden="1" customHeight="1" x14ac:dyDescent="0.2">
      <c r="A575" t="s">
        <v>174</v>
      </c>
      <c r="B575" s="5">
        <v>45223</v>
      </c>
      <c r="C575" s="3">
        <v>0.4375</v>
      </c>
      <c r="D575" s="5">
        <v>45223</v>
      </c>
      <c r="E575" s="3">
        <v>0.47916666666666669</v>
      </c>
      <c r="F575" t="b">
        <v>0</v>
      </c>
      <c r="G575" s="4" t="s">
        <v>175</v>
      </c>
      <c r="H575" t="s">
        <v>125</v>
      </c>
      <c r="I575" t="b">
        <v>0</v>
      </c>
    </row>
    <row r="576" spans="1:9" ht="15" hidden="1" customHeight="1" x14ac:dyDescent="0.2">
      <c r="A576" t="s">
        <v>174</v>
      </c>
      <c r="B576" s="5">
        <v>45225</v>
      </c>
      <c r="C576" s="3">
        <v>0.39583333333333331</v>
      </c>
      <c r="D576" s="5">
        <v>45225</v>
      </c>
      <c r="E576" s="3">
        <v>0.4375</v>
      </c>
      <c r="F576" t="b">
        <v>0</v>
      </c>
      <c r="G576" s="4" t="s">
        <v>175</v>
      </c>
      <c r="H576" t="s">
        <v>125</v>
      </c>
      <c r="I576" t="b">
        <v>0</v>
      </c>
    </row>
    <row r="577" spans="1:9" ht="15" hidden="1" customHeight="1" x14ac:dyDescent="0.2">
      <c r="A577" t="s">
        <v>174</v>
      </c>
      <c r="B577" s="5">
        <v>45229</v>
      </c>
      <c r="C577" s="3">
        <v>0.58333333333333337</v>
      </c>
      <c r="D577" s="5">
        <v>45229</v>
      </c>
      <c r="E577" s="3">
        <v>0.625</v>
      </c>
      <c r="F577" t="b">
        <v>0</v>
      </c>
      <c r="G577" s="4" t="s">
        <v>175</v>
      </c>
      <c r="H577" t="s">
        <v>125</v>
      </c>
      <c r="I577" t="b">
        <v>0</v>
      </c>
    </row>
    <row r="578" spans="1:9" ht="15" hidden="1" customHeight="1" x14ac:dyDescent="0.2">
      <c r="A578" t="s">
        <v>174</v>
      </c>
      <c r="B578" s="5">
        <v>45230</v>
      </c>
      <c r="C578" s="3">
        <v>0.4375</v>
      </c>
      <c r="D578" s="5">
        <v>45230</v>
      </c>
      <c r="E578" s="3">
        <v>0.47916666666666669</v>
      </c>
      <c r="F578" t="b">
        <v>0</v>
      </c>
      <c r="G578" s="4" t="s">
        <v>175</v>
      </c>
      <c r="H578" t="s">
        <v>125</v>
      </c>
      <c r="I578" t="b">
        <v>0</v>
      </c>
    </row>
    <row r="579" spans="1:9" ht="15" hidden="1" customHeight="1" x14ac:dyDescent="0.2">
      <c r="A579" t="s">
        <v>174</v>
      </c>
      <c r="B579" s="5">
        <v>45232</v>
      </c>
      <c r="C579" s="3">
        <v>0.39583333333333331</v>
      </c>
      <c r="D579" s="5">
        <v>45232</v>
      </c>
      <c r="E579" s="3">
        <v>0.4375</v>
      </c>
      <c r="F579" t="b">
        <v>0</v>
      </c>
      <c r="G579" s="4" t="s">
        <v>175</v>
      </c>
      <c r="H579" t="s">
        <v>125</v>
      </c>
      <c r="I579" t="b">
        <v>0</v>
      </c>
    </row>
    <row r="580" spans="1:9" ht="15" hidden="1" customHeight="1" x14ac:dyDescent="0.2">
      <c r="A580" t="s">
        <v>174</v>
      </c>
      <c r="B580" s="5">
        <v>45236</v>
      </c>
      <c r="C580" s="3">
        <v>0.58333333333333337</v>
      </c>
      <c r="D580" s="5">
        <v>45236</v>
      </c>
      <c r="E580" s="3">
        <v>0.625</v>
      </c>
      <c r="F580" t="b">
        <v>0</v>
      </c>
      <c r="G580" s="4" t="s">
        <v>175</v>
      </c>
      <c r="H580" t="s">
        <v>125</v>
      </c>
      <c r="I580" t="b">
        <v>0</v>
      </c>
    </row>
    <row r="581" spans="1:9" ht="15" hidden="1" customHeight="1" x14ac:dyDescent="0.2">
      <c r="A581" t="s">
        <v>174</v>
      </c>
      <c r="B581" s="5">
        <v>45237</v>
      </c>
      <c r="C581" s="3">
        <v>0.4375</v>
      </c>
      <c r="D581" s="5">
        <v>45237</v>
      </c>
      <c r="E581" s="3">
        <v>0.47916666666666669</v>
      </c>
      <c r="F581" t="b">
        <v>0</v>
      </c>
      <c r="G581" s="4" t="s">
        <v>175</v>
      </c>
      <c r="H581" t="s">
        <v>125</v>
      </c>
      <c r="I581" t="b">
        <v>0</v>
      </c>
    </row>
    <row r="582" spans="1:9" ht="15" hidden="1" customHeight="1" x14ac:dyDescent="0.2">
      <c r="A582" t="s">
        <v>174</v>
      </c>
      <c r="B582" s="5">
        <v>45239</v>
      </c>
      <c r="C582" s="3">
        <v>0.39583333333333331</v>
      </c>
      <c r="D582" s="5">
        <v>45239</v>
      </c>
      <c r="E582" s="3">
        <v>0.4375</v>
      </c>
      <c r="F582" t="b">
        <v>0</v>
      </c>
      <c r="G582" s="4" t="s">
        <v>175</v>
      </c>
      <c r="H582" t="s">
        <v>125</v>
      </c>
      <c r="I582" t="b">
        <v>0</v>
      </c>
    </row>
    <row r="583" spans="1:9" ht="15" hidden="1" customHeight="1" x14ac:dyDescent="0.2">
      <c r="A583" t="s">
        <v>140</v>
      </c>
      <c r="B583" s="5">
        <v>45195</v>
      </c>
      <c r="C583" s="3">
        <v>0.35416666666666669</v>
      </c>
      <c r="D583" s="5">
        <v>45195</v>
      </c>
      <c r="E583" s="3">
        <v>0.39583333333333337</v>
      </c>
      <c r="F583" t="b">
        <v>0</v>
      </c>
      <c r="G583" s="4" t="s">
        <v>141</v>
      </c>
      <c r="H583" t="s">
        <v>132</v>
      </c>
      <c r="I583" t="b">
        <v>0</v>
      </c>
    </row>
    <row r="584" spans="1:9" ht="15" hidden="1" customHeight="1" x14ac:dyDescent="0.2">
      <c r="A584" t="s">
        <v>140</v>
      </c>
      <c r="B584" s="5">
        <v>45197</v>
      </c>
      <c r="C584" s="3">
        <v>0.47916666666666669</v>
      </c>
      <c r="D584" s="5">
        <v>45197</v>
      </c>
      <c r="E584" s="3">
        <v>0.52083333333333337</v>
      </c>
      <c r="F584" t="b">
        <v>0</v>
      </c>
      <c r="G584" s="4" t="s">
        <v>141</v>
      </c>
      <c r="H584" t="s">
        <v>132</v>
      </c>
      <c r="I584" t="b">
        <v>0</v>
      </c>
    </row>
    <row r="585" spans="1:9" ht="15" hidden="1" customHeight="1" x14ac:dyDescent="0.2">
      <c r="A585" t="s">
        <v>140</v>
      </c>
      <c r="B585" s="5">
        <v>45198</v>
      </c>
      <c r="C585" s="3">
        <v>0.625</v>
      </c>
      <c r="D585" s="5">
        <v>45198</v>
      </c>
      <c r="E585" s="3">
        <v>0.66666666666666663</v>
      </c>
      <c r="F585" t="b">
        <v>0</v>
      </c>
      <c r="G585" s="4" t="s">
        <v>141</v>
      </c>
      <c r="H585" t="s">
        <v>132</v>
      </c>
      <c r="I585" t="b">
        <v>0</v>
      </c>
    </row>
    <row r="586" spans="1:9" ht="15" hidden="1" customHeight="1" x14ac:dyDescent="0.2">
      <c r="A586" t="s">
        <v>140</v>
      </c>
      <c r="B586" s="5">
        <v>45202</v>
      </c>
      <c r="C586" s="3">
        <v>0.35416666666666669</v>
      </c>
      <c r="D586" s="5">
        <v>45202</v>
      </c>
      <c r="E586" s="3">
        <v>0.39583333333333337</v>
      </c>
      <c r="F586" t="b">
        <v>0</v>
      </c>
      <c r="G586" s="4" t="s">
        <v>141</v>
      </c>
      <c r="H586" t="s">
        <v>132</v>
      </c>
      <c r="I586" t="b">
        <v>0</v>
      </c>
    </row>
    <row r="587" spans="1:9" ht="15" hidden="1" customHeight="1" x14ac:dyDescent="0.2">
      <c r="A587" t="s">
        <v>140</v>
      </c>
      <c r="B587" s="5">
        <v>45204</v>
      </c>
      <c r="C587" s="3">
        <v>0.47916666666666669</v>
      </c>
      <c r="D587" s="5">
        <v>45204</v>
      </c>
      <c r="E587" s="3">
        <v>0.52083333333333337</v>
      </c>
      <c r="F587" t="b">
        <v>0</v>
      </c>
      <c r="G587" s="4" t="s">
        <v>141</v>
      </c>
      <c r="H587" t="s">
        <v>132</v>
      </c>
      <c r="I587" t="b">
        <v>0</v>
      </c>
    </row>
    <row r="588" spans="1:9" ht="15" hidden="1" customHeight="1" x14ac:dyDescent="0.2">
      <c r="A588" t="s">
        <v>140</v>
      </c>
      <c r="B588" s="5">
        <v>45205</v>
      </c>
      <c r="C588" s="3">
        <v>0.625</v>
      </c>
      <c r="D588" s="5">
        <v>45205</v>
      </c>
      <c r="E588" s="3">
        <v>0.66666666666666663</v>
      </c>
      <c r="F588" t="b">
        <v>0</v>
      </c>
      <c r="G588" s="4" t="s">
        <v>141</v>
      </c>
      <c r="H588" t="s">
        <v>132</v>
      </c>
      <c r="I588" t="b">
        <v>0</v>
      </c>
    </row>
    <row r="589" spans="1:9" ht="15" hidden="1" customHeight="1" x14ac:dyDescent="0.2">
      <c r="A589" t="s">
        <v>140</v>
      </c>
      <c r="B589" s="5">
        <v>45209</v>
      </c>
      <c r="C589" s="3">
        <v>0.35416666666666669</v>
      </c>
      <c r="D589" s="5">
        <v>45209</v>
      </c>
      <c r="E589" s="3">
        <v>0.39583333333333337</v>
      </c>
      <c r="F589" t="b">
        <v>0</v>
      </c>
      <c r="G589" s="4" t="s">
        <v>141</v>
      </c>
      <c r="H589" t="s">
        <v>132</v>
      </c>
      <c r="I589" t="b">
        <v>0</v>
      </c>
    </row>
    <row r="590" spans="1:9" ht="15" hidden="1" customHeight="1" x14ac:dyDescent="0.2">
      <c r="A590" t="s">
        <v>140</v>
      </c>
      <c r="B590" s="5">
        <v>45211</v>
      </c>
      <c r="C590" s="3">
        <v>0.47916666666666669</v>
      </c>
      <c r="D590" s="5">
        <v>45211</v>
      </c>
      <c r="E590" s="3">
        <v>0.52083333333333337</v>
      </c>
      <c r="F590" t="b">
        <v>0</v>
      </c>
      <c r="G590" s="4" t="s">
        <v>141</v>
      </c>
      <c r="H590" t="s">
        <v>132</v>
      </c>
      <c r="I590" t="b">
        <v>0</v>
      </c>
    </row>
    <row r="591" spans="1:9" ht="15" hidden="1" customHeight="1" x14ac:dyDescent="0.2">
      <c r="A591" t="s">
        <v>140</v>
      </c>
      <c r="B591" s="5">
        <v>45212</v>
      </c>
      <c r="C591" s="3">
        <v>0.625</v>
      </c>
      <c r="D591" s="5">
        <v>45212</v>
      </c>
      <c r="E591" s="3">
        <v>0.66666666666666663</v>
      </c>
      <c r="F591" t="b">
        <v>0</v>
      </c>
      <c r="G591" s="4" t="s">
        <v>141</v>
      </c>
      <c r="H591" t="s">
        <v>132</v>
      </c>
      <c r="I591" t="b">
        <v>0</v>
      </c>
    </row>
    <row r="592" spans="1:9" ht="15" hidden="1" customHeight="1" x14ac:dyDescent="0.2">
      <c r="A592" t="s">
        <v>140</v>
      </c>
      <c r="B592" s="5">
        <v>45216</v>
      </c>
      <c r="C592" s="3">
        <v>0.35416666666666669</v>
      </c>
      <c r="D592" s="5">
        <v>45216</v>
      </c>
      <c r="E592" s="3">
        <v>0.39583333333333337</v>
      </c>
      <c r="F592" t="b">
        <v>0</v>
      </c>
      <c r="G592" s="4" t="s">
        <v>141</v>
      </c>
      <c r="H592" t="s">
        <v>132</v>
      </c>
      <c r="I592" t="b">
        <v>0</v>
      </c>
    </row>
    <row r="593" spans="1:9" ht="15" hidden="1" customHeight="1" x14ac:dyDescent="0.2">
      <c r="A593" t="s">
        <v>140</v>
      </c>
      <c r="B593" s="5">
        <v>45218</v>
      </c>
      <c r="C593" s="3">
        <v>0.47916666666666669</v>
      </c>
      <c r="D593" s="5">
        <v>45218</v>
      </c>
      <c r="E593" s="3">
        <v>0.52083333333333337</v>
      </c>
      <c r="F593" t="b">
        <v>0</v>
      </c>
      <c r="G593" s="4" t="s">
        <v>141</v>
      </c>
      <c r="H593" t="s">
        <v>132</v>
      </c>
      <c r="I593" t="b">
        <v>0</v>
      </c>
    </row>
    <row r="594" spans="1:9" ht="15" hidden="1" customHeight="1" x14ac:dyDescent="0.2">
      <c r="A594" t="s">
        <v>140</v>
      </c>
      <c r="B594" s="5">
        <v>45219</v>
      </c>
      <c r="C594" s="3">
        <v>0.625</v>
      </c>
      <c r="D594" s="5">
        <v>45219</v>
      </c>
      <c r="E594" s="3">
        <v>0.66666666666666663</v>
      </c>
      <c r="F594" t="b">
        <v>0</v>
      </c>
      <c r="G594" s="4" t="s">
        <v>141</v>
      </c>
      <c r="H594" t="s">
        <v>132</v>
      </c>
      <c r="I594" t="b">
        <v>0</v>
      </c>
    </row>
    <row r="595" spans="1:9" ht="15" hidden="1" customHeight="1" x14ac:dyDescent="0.2">
      <c r="A595" t="s">
        <v>140</v>
      </c>
      <c r="B595" s="5">
        <v>45223</v>
      </c>
      <c r="C595" s="3">
        <v>0.35416666666666669</v>
      </c>
      <c r="D595" s="5">
        <v>45223</v>
      </c>
      <c r="E595" s="3">
        <v>0.39583333333333337</v>
      </c>
      <c r="F595" t="b">
        <v>0</v>
      </c>
      <c r="G595" s="4" t="s">
        <v>141</v>
      </c>
      <c r="H595" t="s">
        <v>132</v>
      </c>
      <c r="I595" t="b">
        <v>0</v>
      </c>
    </row>
    <row r="596" spans="1:9" ht="15" hidden="1" customHeight="1" x14ac:dyDescent="0.2">
      <c r="A596" t="s">
        <v>140</v>
      </c>
      <c r="B596" s="5">
        <v>45225</v>
      </c>
      <c r="C596" s="3">
        <v>0.47916666666666669</v>
      </c>
      <c r="D596" s="5">
        <v>45225</v>
      </c>
      <c r="E596" s="3">
        <v>0.52083333333333337</v>
      </c>
      <c r="F596" t="b">
        <v>0</v>
      </c>
      <c r="G596" s="4" t="s">
        <v>141</v>
      </c>
      <c r="H596" t="s">
        <v>132</v>
      </c>
      <c r="I596" t="b">
        <v>0</v>
      </c>
    </row>
    <row r="597" spans="1:9" ht="15" hidden="1" customHeight="1" x14ac:dyDescent="0.2">
      <c r="A597" t="s">
        <v>140</v>
      </c>
      <c r="B597" s="5">
        <v>45226</v>
      </c>
      <c r="C597" s="3">
        <v>0.625</v>
      </c>
      <c r="D597" s="5">
        <v>45226</v>
      </c>
      <c r="E597" s="3">
        <v>0.66666666666666663</v>
      </c>
      <c r="F597" t="b">
        <v>0</v>
      </c>
      <c r="G597" s="4" t="s">
        <v>141</v>
      </c>
      <c r="H597" t="s">
        <v>132</v>
      </c>
      <c r="I597" t="b">
        <v>0</v>
      </c>
    </row>
    <row r="598" spans="1:9" ht="15" hidden="1" customHeight="1" x14ac:dyDescent="0.2">
      <c r="A598" t="s">
        <v>140</v>
      </c>
      <c r="B598" s="5">
        <v>45230</v>
      </c>
      <c r="C598" s="3">
        <v>0.35416666666666669</v>
      </c>
      <c r="D598" s="5">
        <v>45230</v>
      </c>
      <c r="E598" s="3">
        <v>0.39583333333333337</v>
      </c>
      <c r="F598" t="b">
        <v>0</v>
      </c>
      <c r="G598" s="4" t="s">
        <v>141</v>
      </c>
      <c r="H598" t="s">
        <v>132</v>
      </c>
      <c r="I598" t="b">
        <v>0</v>
      </c>
    </row>
    <row r="599" spans="1:9" ht="15" hidden="1" customHeight="1" x14ac:dyDescent="0.2">
      <c r="A599" t="s">
        <v>140</v>
      </c>
      <c r="B599" s="5">
        <v>45232</v>
      </c>
      <c r="C599" s="3">
        <v>0.47916666666666669</v>
      </c>
      <c r="D599" s="5">
        <v>45232</v>
      </c>
      <c r="E599" s="3">
        <v>0.52083333333333337</v>
      </c>
      <c r="F599" t="b">
        <v>0</v>
      </c>
      <c r="G599" s="4" t="s">
        <v>141</v>
      </c>
      <c r="H599" t="s">
        <v>132</v>
      </c>
      <c r="I599" t="b">
        <v>0</v>
      </c>
    </row>
    <row r="600" spans="1:9" ht="15" hidden="1" customHeight="1" x14ac:dyDescent="0.2">
      <c r="A600" t="s">
        <v>140</v>
      </c>
      <c r="B600" s="5">
        <v>45233</v>
      </c>
      <c r="C600" s="3">
        <v>0.625</v>
      </c>
      <c r="D600" s="5">
        <v>45233</v>
      </c>
      <c r="E600" s="3">
        <v>0.66666666666666663</v>
      </c>
      <c r="F600" t="b">
        <v>0</v>
      </c>
      <c r="G600" s="4" t="s">
        <v>141</v>
      </c>
      <c r="H600" t="s">
        <v>132</v>
      </c>
      <c r="I600" t="b">
        <v>0</v>
      </c>
    </row>
    <row r="601" spans="1:9" ht="15" hidden="1" customHeight="1" x14ac:dyDescent="0.2">
      <c r="A601" t="s">
        <v>140</v>
      </c>
      <c r="B601" s="5">
        <v>45237</v>
      </c>
      <c r="C601" s="3">
        <v>0.35416666666666669</v>
      </c>
      <c r="D601" s="5">
        <v>45237</v>
      </c>
      <c r="E601" s="3">
        <v>0.39583333333333337</v>
      </c>
      <c r="F601" t="b">
        <v>0</v>
      </c>
      <c r="G601" s="4" t="s">
        <v>141</v>
      </c>
      <c r="H601" t="s">
        <v>132</v>
      </c>
      <c r="I601" t="b">
        <v>0</v>
      </c>
    </row>
    <row r="602" spans="1:9" ht="15" hidden="1" customHeight="1" x14ac:dyDescent="0.2">
      <c r="A602" t="s">
        <v>140</v>
      </c>
      <c r="B602" s="5">
        <v>45239</v>
      </c>
      <c r="C602" s="3">
        <v>0.47916666666666669</v>
      </c>
      <c r="D602" s="5">
        <v>45239</v>
      </c>
      <c r="E602" s="3">
        <v>0.52083333333333337</v>
      </c>
      <c r="F602" t="b">
        <v>0</v>
      </c>
      <c r="G602" s="4" t="s">
        <v>141</v>
      </c>
      <c r="H602" t="s">
        <v>132</v>
      </c>
      <c r="I602" t="b">
        <v>0</v>
      </c>
    </row>
    <row r="603" spans="1:9" ht="15" hidden="1" customHeight="1" x14ac:dyDescent="0.2">
      <c r="A603" t="s">
        <v>140</v>
      </c>
      <c r="B603" s="5">
        <v>45240</v>
      </c>
      <c r="C603" s="3">
        <v>0.625</v>
      </c>
      <c r="D603" s="5">
        <v>45240</v>
      </c>
      <c r="E603" s="3">
        <v>0.66666666666666663</v>
      </c>
      <c r="F603" t="b">
        <v>0</v>
      </c>
      <c r="G603" s="4" t="s">
        <v>141</v>
      </c>
      <c r="H603" t="s">
        <v>132</v>
      </c>
      <c r="I603" t="b">
        <v>0</v>
      </c>
    </row>
    <row r="604" spans="1:9" ht="15" hidden="1" customHeight="1" x14ac:dyDescent="0.2">
      <c r="A604" t="s">
        <v>194</v>
      </c>
      <c r="B604" s="5">
        <v>45194</v>
      </c>
      <c r="C604" s="3">
        <v>0.4375</v>
      </c>
      <c r="D604" s="5">
        <v>45194</v>
      </c>
      <c r="E604" s="3">
        <v>0.5</v>
      </c>
      <c r="F604" t="b">
        <v>0</v>
      </c>
      <c r="G604" s="4" t="s">
        <v>195</v>
      </c>
      <c r="H604" t="s">
        <v>155</v>
      </c>
      <c r="I604" t="b">
        <v>0</v>
      </c>
    </row>
    <row r="605" spans="1:9" ht="15" hidden="1" customHeight="1" x14ac:dyDescent="0.2">
      <c r="A605" t="s">
        <v>178</v>
      </c>
      <c r="B605" s="5">
        <v>45201</v>
      </c>
      <c r="C605" s="3">
        <v>0.39583333333333331</v>
      </c>
      <c r="D605" s="5">
        <v>45201</v>
      </c>
      <c r="E605" s="3">
        <v>0.52083333333333337</v>
      </c>
      <c r="F605" t="b">
        <v>0</v>
      </c>
      <c r="G605" s="4" t="s">
        <v>179</v>
      </c>
      <c r="I605" t="b">
        <v>0</v>
      </c>
    </row>
    <row r="606" spans="1:9" ht="15" hidden="1" customHeight="1" x14ac:dyDescent="0.2">
      <c r="A606" t="s">
        <v>178</v>
      </c>
      <c r="B606" s="5">
        <v>45208</v>
      </c>
      <c r="C606" s="3">
        <v>0.39583333333333331</v>
      </c>
      <c r="D606" s="5">
        <v>45208</v>
      </c>
      <c r="E606" s="3">
        <v>0.52083333333333337</v>
      </c>
      <c r="F606" t="b">
        <v>0</v>
      </c>
      <c r="G606" s="4" t="s">
        <v>179</v>
      </c>
      <c r="I606" t="b">
        <v>0</v>
      </c>
    </row>
    <row r="607" spans="1:9" ht="15" hidden="1" customHeight="1" x14ac:dyDescent="0.2">
      <c r="A607" t="s">
        <v>178</v>
      </c>
      <c r="B607" s="5">
        <v>45215</v>
      </c>
      <c r="C607" s="3">
        <v>0.39583333333333331</v>
      </c>
      <c r="D607" s="5">
        <v>45215</v>
      </c>
      <c r="E607" s="3">
        <v>0.52083333333333337</v>
      </c>
      <c r="F607" t="b">
        <v>0</v>
      </c>
      <c r="G607" s="4" t="s">
        <v>179</v>
      </c>
      <c r="I607" t="b">
        <v>0</v>
      </c>
    </row>
    <row r="608" spans="1:9" ht="15" hidden="1" customHeight="1" x14ac:dyDescent="0.2">
      <c r="A608" t="s">
        <v>178</v>
      </c>
      <c r="B608" s="5">
        <v>45222</v>
      </c>
      <c r="C608" s="3">
        <v>0.39583333333333331</v>
      </c>
      <c r="D608" s="5">
        <v>45222</v>
      </c>
      <c r="E608" s="3">
        <v>0.52083333333333337</v>
      </c>
      <c r="F608" t="b">
        <v>0</v>
      </c>
      <c r="G608" s="4" t="s">
        <v>179</v>
      </c>
      <c r="I608" t="b">
        <v>0</v>
      </c>
    </row>
    <row r="609" spans="1:9" ht="15" hidden="1" customHeight="1" x14ac:dyDescent="0.2">
      <c r="A609" t="s">
        <v>178</v>
      </c>
      <c r="B609" s="5">
        <v>45229</v>
      </c>
      <c r="C609" s="3">
        <v>0.39583333333333331</v>
      </c>
      <c r="D609" s="5">
        <v>45229</v>
      </c>
      <c r="E609" s="3">
        <v>0.52083333333333337</v>
      </c>
      <c r="F609" t="b">
        <v>0</v>
      </c>
      <c r="G609" s="4" t="s">
        <v>179</v>
      </c>
      <c r="I609" t="b">
        <v>0</v>
      </c>
    </row>
    <row r="610" spans="1:9" ht="15" hidden="1" customHeight="1" x14ac:dyDescent="0.2">
      <c r="A610" t="s">
        <v>178</v>
      </c>
      <c r="B610" s="5">
        <v>45236</v>
      </c>
      <c r="C610" s="3">
        <v>0.39583333333333331</v>
      </c>
      <c r="D610" s="5">
        <v>45236</v>
      </c>
      <c r="E610" s="3">
        <v>0.52083333333333337</v>
      </c>
      <c r="F610" t="b">
        <v>0</v>
      </c>
      <c r="G610" s="4" t="s">
        <v>179</v>
      </c>
      <c r="I610" t="b">
        <v>0</v>
      </c>
    </row>
    <row r="611" spans="1:9" ht="15" hidden="1" customHeight="1" x14ac:dyDescent="0.2">
      <c r="A611" t="s">
        <v>180</v>
      </c>
      <c r="B611" s="5">
        <v>45195</v>
      </c>
      <c r="C611" s="3">
        <v>0.4375</v>
      </c>
      <c r="D611" s="5">
        <v>45195</v>
      </c>
      <c r="E611" s="3">
        <v>0.52083333333333337</v>
      </c>
      <c r="F611" t="b">
        <v>0</v>
      </c>
      <c r="G611" s="4" t="s">
        <v>181</v>
      </c>
      <c r="I611" t="b">
        <v>0</v>
      </c>
    </row>
    <row r="612" spans="1:9" ht="15" hidden="1" customHeight="1" x14ac:dyDescent="0.2">
      <c r="A612" t="s">
        <v>180</v>
      </c>
      <c r="B612" s="5">
        <v>45202</v>
      </c>
      <c r="C612" s="3">
        <v>0.4375</v>
      </c>
      <c r="D612" s="5">
        <v>45202</v>
      </c>
      <c r="E612" s="3">
        <v>0.52083333333333337</v>
      </c>
      <c r="F612" t="b">
        <v>0</v>
      </c>
      <c r="G612" s="4" t="s">
        <v>181</v>
      </c>
      <c r="I612" t="b">
        <v>0</v>
      </c>
    </row>
    <row r="613" spans="1:9" ht="15" hidden="1" customHeight="1" x14ac:dyDescent="0.2">
      <c r="A613" t="s">
        <v>180</v>
      </c>
      <c r="B613" s="5">
        <v>45209</v>
      </c>
      <c r="C613" s="3">
        <v>0.4375</v>
      </c>
      <c r="D613" s="5">
        <v>45209</v>
      </c>
      <c r="E613" s="3">
        <v>0.52083333333333337</v>
      </c>
      <c r="F613" t="b">
        <v>0</v>
      </c>
      <c r="G613" s="4" t="s">
        <v>181</v>
      </c>
      <c r="I613" t="b">
        <v>0</v>
      </c>
    </row>
    <row r="614" spans="1:9" ht="15" hidden="1" customHeight="1" x14ac:dyDescent="0.2">
      <c r="A614" t="s">
        <v>180</v>
      </c>
      <c r="B614" s="5">
        <v>45216</v>
      </c>
      <c r="C614" s="3">
        <v>0.4375</v>
      </c>
      <c r="D614" s="5">
        <v>45216</v>
      </c>
      <c r="E614" s="3">
        <v>0.52083333333333337</v>
      </c>
      <c r="F614" t="b">
        <v>0</v>
      </c>
      <c r="G614" s="4" t="s">
        <v>181</v>
      </c>
      <c r="I614" t="b">
        <v>0</v>
      </c>
    </row>
    <row r="615" spans="1:9" ht="15" hidden="1" customHeight="1" x14ac:dyDescent="0.2">
      <c r="A615" t="s">
        <v>180</v>
      </c>
      <c r="B615" s="5">
        <v>45223</v>
      </c>
      <c r="C615" s="3">
        <v>0.4375</v>
      </c>
      <c r="D615" s="5">
        <v>45223</v>
      </c>
      <c r="E615" s="3">
        <v>0.52083333333333337</v>
      </c>
      <c r="F615" t="b">
        <v>0</v>
      </c>
      <c r="G615" s="4" t="s">
        <v>181</v>
      </c>
      <c r="I615" t="b">
        <v>0</v>
      </c>
    </row>
    <row r="616" spans="1:9" ht="15" hidden="1" customHeight="1" x14ac:dyDescent="0.2">
      <c r="A616" t="s">
        <v>180</v>
      </c>
      <c r="B616" s="5">
        <v>45230</v>
      </c>
      <c r="C616" s="3">
        <v>0.4375</v>
      </c>
      <c r="D616" s="5">
        <v>45230</v>
      </c>
      <c r="E616" s="3">
        <v>0.52083333333333337</v>
      </c>
      <c r="F616" t="b">
        <v>0</v>
      </c>
      <c r="G616" s="4" t="s">
        <v>181</v>
      </c>
      <c r="I616" t="b">
        <v>0</v>
      </c>
    </row>
    <row r="617" spans="1:9" ht="15" hidden="1" customHeight="1" x14ac:dyDescent="0.2">
      <c r="A617" t="s">
        <v>180</v>
      </c>
      <c r="B617" s="5">
        <v>45237</v>
      </c>
      <c r="C617" s="3">
        <v>0.4375</v>
      </c>
      <c r="D617" s="5">
        <v>45237</v>
      </c>
      <c r="E617" s="3">
        <v>0.52083333333333337</v>
      </c>
      <c r="F617" t="b">
        <v>0</v>
      </c>
      <c r="G617" s="4" t="s">
        <v>181</v>
      </c>
      <c r="I617" t="b">
        <v>0</v>
      </c>
    </row>
    <row r="618" spans="1:9" ht="15" hidden="1" customHeight="1" x14ac:dyDescent="0.2">
      <c r="A618" t="s">
        <v>183</v>
      </c>
      <c r="B618" s="5">
        <v>45196</v>
      </c>
      <c r="C618" s="3">
        <v>0.39583333333333331</v>
      </c>
      <c r="D618" s="5">
        <v>45196</v>
      </c>
      <c r="E618" s="3">
        <v>0.52083333333333337</v>
      </c>
      <c r="F618" t="b">
        <v>0</v>
      </c>
      <c r="G618" s="4" t="s">
        <v>182</v>
      </c>
      <c r="I618" t="b">
        <v>0</v>
      </c>
    </row>
    <row r="619" spans="1:9" ht="15" hidden="1" customHeight="1" x14ac:dyDescent="0.2">
      <c r="A619" t="s">
        <v>183</v>
      </c>
      <c r="B619" s="5">
        <v>45203</v>
      </c>
      <c r="C619" s="3">
        <v>0.39583333333333331</v>
      </c>
      <c r="D619" s="5">
        <v>45203</v>
      </c>
      <c r="E619" s="3">
        <v>0.52083333333333337</v>
      </c>
      <c r="F619" t="b">
        <v>0</v>
      </c>
      <c r="G619" s="4" t="s">
        <v>182</v>
      </c>
      <c r="I619" t="b">
        <v>0</v>
      </c>
    </row>
    <row r="620" spans="1:9" ht="15" hidden="1" customHeight="1" x14ac:dyDescent="0.2">
      <c r="A620" t="s">
        <v>183</v>
      </c>
      <c r="B620" s="5">
        <v>45210</v>
      </c>
      <c r="C620" s="3">
        <v>0.39583333333333331</v>
      </c>
      <c r="D620" s="5">
        <v>45210</v>
      </c>
      <c r="E620" s="3">
        <v>0.52083333333333337</v>
      </c>
      <c r="F620" t="b">
        <v>0</v>
      </c>
      <c r="G620" s="4" t="s">
        <v>182</v>
      </c>
      <c r="I620" t="b">
        <v>0</v>
      </c>
    </row>
    <row r="621" spans="1:9" ht="15" hidden="1" customHeight="1" x14ac:dyDescent="0.2">
      <c r="A621" t="s">
        <v>183</v>
      </c>
      <c r="B621" s="5">
        <v>45217</v>
      </c>
      <c r="C621" s="3">
        <v>0.39583333333333331</v>
      </c>
      <c r="D621" s="5">
        <v>45217</v>
      </c>
      <c r="E621" s="3">
        <v>0.52083333333333337</v>
      </c>
      <c r="F621" t="b">
        <v>0</v>
      </c>
      <c r="G621" s="4" t="s">
        <v>182</v>
      </c>
      <c r="I621" t="b">
        <v>0</v>
      </c>
    </row>
    <row r="622" spans="1:9" ht="15" hidden="1" customHeight="1" x14ac:dyDescent="0.2">
      <c r="A622" t="s">
        <v>183</v>
      </c>
      <c r="B622" s="5">
        <v>45224</v>
      </c>
      <c r="C622" s="3">
        <v>0.39583333333333331</v>
      </c>
      <c r="D622" s="5">
        <v>45224</v>
      </c>
      <c r="E622" s="3">
        <v>0.52083333333333337</v>
      </c>
      <c r="F622" t="b">
        <v>0</v>
      </c>
      <c r="G622" s="4" t="s">
        <v>182</v>
      </c>
      <c r="I622" t="b">
        <v>0</v>
      </c>
    </row>
    <row r="623" spans="1:9" ht="15" hidden="1" customHeight="1" x14ac:dyDescent="0.2">
      <c r="A623" t="s">
        <v>183</v>
      </c>
      <c r="B623" s="5">
        <v>45231</v>
      </c>
      <c r="C623" s="3">
        <v>0.39583333333333331</v>
      </c>
      <c r="D623" s="5">
        <v>45231</v>
      </c>
      <c r="E623" s="3">
        <v>0.52083333333333337</v>
      </c>
      <c r="F623" t="b">
        <v>0</v>
      </c>
      <c r="G623" s="4" t="s">
        <v>182</v>
      </c>
      <c r="I623" t="b">
        <v>0</v>
      </c>
    </row>
    <row r="624" spans="1:9" ht="15" hidden="1" customHeight="1" x14ac:dyDescent="0.2">
      <c r="A624" t="s">
        <v>183</v>
      </c>
      <c r="B624" s="5">
        <v>45238</v>
      </c>
      <c r="C624" s="3">
        <v>0.39583333333333331</v>
      </c>
      <c r="D624" s="5">
        <v>45238</v>
      </c>
      <c r="E624" s="3">
        <v>0.52083333333333337</v>
      </c>
      <c r="F624" t="b">
        <v>0</v>
      </c>
      <c r="G624" s="4" t="s">
        <v>182</v>
      </c>
      <c r="I624" t="b">
        <v>0</v>
      </c>
    </row>
    <row r="625" spans="1:9" ht="15" hidden="1" customHeight="1" x14ac:dyDescent="0.2">
      <c r="A625" t="s">
        <v>176</v>
      </c>
      <c r="B625" s="5">
        <v>45195</v>
      </c>
      <c r="C625" s="3">
        <v>0.35416666666666669</v>
      </c>
      <c r="D625" s="5">
        <v>45195</v>
      </c>
      <c r="E625" s="3">
        <v>0.39583333333333337</v>
      </c>
      <c r="F625" t="b">
        <v>0</v>
      </c>
      <c r="G625" s="4" t="s">
        <v>177</v>
      </c>
      <c r="H625" t="s">
        <v>244</v>
      </c>
      <c r="I625" t="b">
        <v>0</v>
      </c>
    </row>
    <row r="626" spans="1:9" ht="15" hidden="1" customHeight="1" x14ac:dyDescent="0.2">
      <c r="A626" t="s">
        <v>176</v>
      </c>
      <c r="B626" s="5">
        <v>45197</v>
      </c>
      <c r="C626" s="3">
        <v>0.47916666666666669</v>
      </c>
      <c r="D626" s="5">
        <v>45197</v>
      </c>
      <c r="E626" s="3">
        <v>0.52083333333333337</v>
      </c>
      <c r="F626" t="b">
        <v>0</v>
      </c>
      <c r="G626" s="4" t="s">
        <v>177</v>
      </c>
      <c r="H626" t="s">
        <v>244</v>
      </c>
      <c r="I626" t="b">
        <v>0</v>
      </c>
    </row>
    <row r="627" spans="1:9" ht="15" hidden="1" customHeight="1" x14ac:dyDescent="0.2">
      <c r="A627" t="s">
        <v>176</v>
      </c>
      <c r="B627" s="5">
        <v>45198</v>
      </c>
      <c r="C627" s="3">
        <v>0.625</v>
      </c>
      <c r="D627" s="5">
        <v>45198</v>
      </c>
      <c r="E627" s="3">
        <v>0.66666666666666663</v>
      </c>
      <c r="F627" t="b">
        <v>0</v>
      </c>
      <c r="G627" s="4" t="s">
        <v>177</v>
      </c>
      <c r="H627" t="s">
        <v>244</v>
      </c>
      <c r="I627" t="b">
        <v>0</v>
      </c>
    </row>
    <row r="628" spans="1:9" ht="15" hidden="1" customHeight="1" x14ac:dyDescent="0.2">
      <c r="A628" t="s">
        <v>176</v>
      </c>
      <c r="B628" s="5">
        <v>45202</v>
      </c>
      <c r="C628" s="3">
        <v>0.35416666666666669</v>
      </c>
      <c r="D628" s="5">
        <v>45202</v>
      </c>
      <c r="E628" s="3">
        <v>0.39583333333333337</v>
      </c>
      <c r="F628" t="b">
        <v>0</v>
      </c>
      <c r="G628" s="4" t="s">
        <v>177</v>
      </c>
      <c r="H628" t="s">
        <v>244</v>
      </c>
      <c r="I628" t="b">
        <v>0</v>
      </c>
    </row>
    <row r="629" spans="1:9" ht="15" hidden="1" customHeight="1" x14ac:dyDescent="0.2">
      <c r="A629" t="s">
        <v>176</v>
      </c>
      <c r="B629" s="5">
        <v>45204</v>
      </c>
      <c r="C629" s="3">
        <v>0.47916666666666669</v>
      </c>
      <c r="D629" s="5">
        <v>45204</v>
      </c>
      <c r="E629" s="3">
        <v>0.52083333333333337</v>
      </c>
      <c r="F629" t="b">
        <v>0</v>
      </c>
      <c r="G629" s="4" t="s">
        <v>177</v>
      </c>
      <c r="H629" t="s">
        <v>244</v>
      </c>
      <c r="I629" t="b">
        <v>0</v>
      </c>
    </row>
    <row r="630" spans="1:9" ht="15" hidden="1" customHeight="1" x14ac:dyDescent="0.2">
      <c r="A630" t="s">
        <v>176</v>
      </c>
      <c r="B630" s="5">
        <v>45205</v>
      </c>
      <c r="C630" s="3">
        <v>0.625</v>
      </c>
      <c r="D630" s="5">
        <v>45205</v>
      </c>
      <c r="E630" s="3">
        <v>0.66666666666666663</v>
      </c>
      <c r="F630" t="b">
        <v>0</v>
      </c>
      <c r="G630" s="4" t="s">
        <v>177</v>
      </c>
      <c r="H630" t="s">
        <v>244</v>
      </c>
      <c r="I630" t="b">
        <v>0</v>
      </c>
    </row>
    <row r="631" spans="1:9" ht="15" hidden="1" customHeight="1" x14ac:dyDescent="0.2">
      <c r="A631" t="s">
        <v>176</v>
      </c>
      <c r="B631" s="5">
        <v>45209</v>
      </c>
      <c r="C631" s="3">
        <v>0.35416666666666669</v>
      </c>
      <c r="D631" s="5">
        <v>45209</v>
      </c>
      <c r="E631" s="3">
        <v>0.39583333333333337</v>
      </c>
      <c r="F631" t="b">
        <v>0</v>
      </c>
      <c r="G631" s="4" t="s">
        <v>177</v>
      </c>
      <c r="H631" t="s">
        <v>244</v>
      </c>
      <c r="I631" t="b">
        <v>0</v>
      </c>
    </row>
    <row r="632" spans="1:9" ht="15" hidden="1" customHeight="1" x14ac:dyDescent="0.2">
      <c r="A632" t="s">
        <v>176</v>
      </c>
      <c r="B632" s="5">
        <v>45211</v>
      </c>
      <c r="C632" s="3">
        <v>0.47916666666666669</v>
      </c>
      <c r="D632" s="5">
        <v>45211</v>
      </c>
      <c r="E632" s="3">
        <v>0.52083333333333337</v>
      </c>
      <c r="F632" t="b">
        <v>0</v>
      </c>
      <c r="G632" s="4" t="s">
        <v>177</v>
      </c>
      <c r="H632" t="s">
        <v>244</v>
      </c>
      <c r="I632" t="b">
        <v>0</v>
      </c>
    </row>
    <row r="633" spans="1:9" ht="15" hidden="1" customHeight="1" x14ac:dyDescent="0.2">
      <c r="A633" t="s">
        <v>176</v>
      </c>
      <c r="B633" s="5">
        <v>45212</v>
      </c>
      <c r="C633" s="3">
        <v>0.625</v>
      </c>
      <c r="D633" s="5">
        <v>45212</v>
      </c>
      <c r="E633" s="3">
        <v>0.66666666666666663</v>
      </c>
      <c r="F633" t="b">
        <v>0</v>
      </c>
      <c r="G633" s="4" t="s">
        <v>177</v>
      </c>
      <c r="H633" t="s">
        <v>244</v>
      </c>
      <c r="I633" t="b">
        <v>0</v>
      </c>
    </row>
    <row r="634" spans="1:9" ht="15" hidden="1" customHeight="1" x14ac:dyDescent="0.2">
      <c r="A634" t="s">
        <v>176</v>
      </c>
      <c r="B634" s="5">
        <v>45216</v>
      </c>
      <c r="C634" s="3">
        <v>0.35416666666666669</v>
      </c>
      <c r="D634" s="5">
        <v>45216</v>
      </c>
      <c r="E634" s="3">
        <v>0.39583333333333337</v>
      </c>
      <c r="F634" t="b">
        <v>0</v>
      </c>
      <c r="G634" s="4" t="s">
        <v>177</v>
      </c>
      <c r="H634" t="s">
        <v>244</v>
      </c>
      <c r="I634" t="b">
        <v>0</v>
      </c>
    </row>
    <row r="635" spans="1:9" ht="15" hidden="1" customHeight="1" x14ac:dyDescent="0.2">
      <c r="A635" t="s">
        <v>176</v>
      </c>
      <c r="B635" s="5">
        <v>45218</v>
      </c>
      <c r="C635" s="3">
        <v>0.47916666666666669</v>
      </c>
      <c r="D635" s="5">
        <v>45218</v>
      </c>
      <c r="E635" s="3">
        <v>0.52083333333333337</v>
      </c>
      <c r="F635" t="b">
        <v>0</v>
      </c>
      <c r="G635" s="4" t="s">
        <v>177</v>
      </c>
      <c r="H635" t="s">
        <v>244</v>
      </c>
      <c r="I635" t="b">
        <v>0</v>
      </c>
    </row>
    <row r="636" spans="1:9" ht="15" hidden="1" customHeight="1" x14ac:dyDescent="0.2">
      <c r="A636" t="s">
        <v>176</v>
      </c>
      <c r="B636" s="5">
        <v>45219</v>
      </c>
      <c r="C636" s="3">
        <v>0.625</v>
      </c>
      <c r="D636" s="5">
        <v>45219</v>
      </c>
      <c r="E636" s="3">
        <v>0.66666666666666663</v>
      </c>
      <c r="F636" t="b">
        <v>0</v>
      </c>
      <c r="G636" s="4" t="s">
        <v>177</v>
      </c>
      <c r="H636" t="s">
        <v>244</v>
      </c>
      <c r="I636" t="b">
        <v>0</v>
      </c>
    </row>
    <row r="637" spans="1:9" ht="15" hidden="1" customHeight="1" x14ac:dyDescent="0.2">
      <c r="A637" t="s">
        <v>176</v>
      </c>
      <c r="B637" s="5">
        <v>45223</v>
      </c>
      <c r="C637" s="3">
        <v>0.35416666666666669</v>
      </c>
      <c r="D637" s="5">
        <v>45223</v>
      </c>
      <c r="E637" s="3">
        <v>0.39583333333333337</v>
      </c>
      <c r="F637" t="b">
        <v>0</v>
      </c>
      <c r="G637" s="4" t="s">
        <v>177</v>
      </c>
      <c r="H637" t="s">
        <v>244</v>
      </c>
      <c r="I637" t="b">
        <v>0</v>
      </c>
    </row>
    <row r="638" spans="1:9" ht="15" hidden="1" customHeight="1" x14ac:dyDescent="0.2">
      <c r="A638" t="s">
        <v>176</v>
      </c>
      <c r="B638" s="5">
        <v>45225</v>
      </c>
      <c r="C638" s="3">
        <v>0.47916666666666669</v>
      </c>
      <c r="D638" s="5">
        <v>45225</v>
      </c>
      <c r="E638" s="3">
        <v>0.52083333333333337</v>
      </c>
      <c r="F638" t="b">
        <v>0</v>
      </c>
      <c r="G638" s="4" t="s">
        <v>177</v>
      </c>
      <c r="H638" t="s">
        <v>244</v>
      </c>
      <c r="I638" t="b">
        <v>0</v>
      </c>
    </row>
    <row r="639" spans="1:9" ht="15" hidden="1" customHeight="1" x14ac:dyDescent="0.2">
      <c r="A639" t="s">
        <v>176</v>
      </c>
      <c r="B639" s="5">
        <v>45226</v>
      </c>
      <c r="C639" s="3">
        <v>0.625</v>
      </c>
      <c r="D639" s="5">
        <v>45226</v>
      </c>
      <c r="E639" s="3">
        <v>0.66666666666666663</v>
      </c>
      <c r="F639" t="b">
        <v>0</v>
      </c>
      <c r="G639" s="4" t="s">
        <v>177</v>
      </c>
      <c r="H639" t="s">
        <v>244</v>
      </c>
      <c r="I639" t="b">
        <v>0</v>
      </c>
    </row>
    <row r="640" spans="1:9" ht="15" hidden="1" customHeight="1" x14ac:dyDescent="0.2">
      <c r="A640" t="s">
        <v>176</v>
      </c>
      <c r="B640" s="5">
        <v>45230</v>
      </c>
      <c r="C640" s="3">
        <v>0.35416666666666669</v>
      </c>
      <c r="D640" s="5">
        <v>45230</v>
      </c>
      <c r="E640" s="3">
        <v>0.39583333333333337</v>
      </c>
      <c r="F640" t="b">
        <v>0</v>
      </c>
      <c r="G640" s="4" t="s">
        <v>177</v>
      </c>
      <c r="H640" t="s">
        <v>244</v>
      </c>
      <c r="I640" t="b">
        <v>0</v>
      </c>
    </row>
    <row r="641" spans="1:9" ht="15" hidden="1" customHeight="1" x14ac:dyDescent="0.2">
      <c r="A641" t="s">
        <v>176</v>
      </c>
      <c r="B641" s="5">
        <v>45232</v>
      </c>
      <c r="C641" s="3">
        <v>0.47916666666666669</v>
      </c>
      <c r="D641" s="5">
        <v>45232</v>
      </c>
      <c r="E641" s="3">
        <v>0.52083333333333337</v>
      </c>
      <c r="F641" t="b">
        <v>0</v>
      </c>
      <c r="G641" s="4" t="s">
        <v>177</v>
      </c>
      <c r="H641" t="s">
        <v>244</v>
      </c>
      <c r="I641" t="b">
        <v>0</v>
      </c>
    </row>
    <row r="642" spans="1:9" ht="15" hidden="1" customHeight="1" x14ac:dyDescent="0.2">
      <c r="A642" t="s">
        <v>176</v>
      </c>
      <c r="B642" s="5">
        <v>45233</v>
      </c>
      <c r="C642" s="3">
        <v>0.625</v>
      </c>
      <c r="D642" s="5">
        <v>45233</v>
      </c>
      <c r="E642" s="3">
        <v>0.66666666666666663</v>
      </c>
      <c r="F642" t="b">
        <v>0</v>
      </c>
      <c r="G642" s="4" t="s">
        <v>177</v>
      </c>
      <c r="H642" t="s">
        <v>244</v>
      </c>
      <c r="I642" t="b">
        <v>0</v>
      </c>
    </row>
    <row r="643" spans="1:9" ht="15" hidden="1" customHeight="1" x14ac:dyDescent="0.2">
      <c r="A643" t="s">
        <v>176</v>
      </c>
      <c r="B643" s="5">
        <v>45237</v>
      </c>
      <c r="C643" s="3">
        <v>0.35416666666666669</v>
      </c>
      <c r="D643" s="5">
        <v>45237</v>
      </c>
      <c r="E643" s="3">
        <v>0.39583333333333337</v>
      </c>
      <c r="F643" t="b">
        <v>0</v>
      </c>
      <c r="G643" s="4" t="s">
        <v>177</v>
      </c>
      <c r="H643" t="s">
        <v>244</v>
      </c>
      <c r="I643" t="b">
        <v>0</v>
      </c>
    </row>
    <row r="644" spans="1:9" ht="15" hidden="1" customHeight="1" x14ac:dyDescent="0.2">
      <c r="A644" t="s">
        <v>176</v>
      </c>
      <c r="B644" s="5">
        <v>45239</v>
      </c>
      <c r="C644" s="3">
        <v>0.47916666666666669</v>
      </c>
      <c r="D644" s="5">
        <v>45239</v>
      </c>
      <c r="E644" s="3">
        <v>0.52083333333333337</v>
      </c>
      <c r="F644" t="b">
        <v>0</v>
      </c>
      <c r="G644" s="4" t="s">
        <v>177</v>
      </c>
      <c r="H644" t="s">
        <v>244</v>
      </c>
      <c r="I644" t="b">
        <v>0</v>
      </c>
    </row>
    <row r="645" spans="1:9" ht="15" hidden="1" customHeight="1" x14ac:dyDescent="0.2">
      <c r="A645" t="s">
        <v>176</v>
      </c>
      <c r="B645" s="5">
        <v>45240</v>
      </c>
      <c r="C645" s="3">
        <v>0.625</v>
      </c>
      <c r="D645" s="5">
        <v>45240</v>
      </c>
      <c r="E645" s="3">
        <v>0.66666666666666663</v>
      </c>
      <c r="F645" t="b">
        <v>0</v>
      </c>
      <c r="G645" s="4" t="s">
        <v>177</v>
      </c>
      <c r="H645" t="s">
        <v>244</v>
      </c>
      <c r="I645" t="b">
        <v>0</v>
      </c>
    </row>
    <row r="646" spans="1:9" ht="15" hidden="1" customHeight="1" x14ac:dyDescent="0.2">
      <c r="A646" s="3" t="s">
        <v>304</v>
      </c>
      <c r="B646" s="5">
        <v>45195</v>
      </c>
      <c r="C646" s="3">
        <v>0.625</v>
      </c>
      <c r="D646" s="5">
        <v>45195</v>
      </c>
      <c r="E646" s="3">
        <v>0.66666666666666663</v>
      </c>
      <c r="F646" t="b">
        <v>0</v>
      </c>
      <c r="G646" s="5" t="s">
        <v>305</v>
      </c>
      <c r="H646" s="3" t="s">
        <v>306</v>
      </c>
      <c r="I646" t="b">
        <v>0</v>
      </c>
    </row>
    <row r="647" spans="1:9" ht="15" hidden="1" customHeight="1" x14ac:dyDescent="0.2">
      <c r="A647" s="3" t="s">
        <v>304</v>
      </c>
      <c r="B647" s="5">
        <v>45196</v>
      </c>
      <c r="C647" s="3">
        <v>0.58333333333333337</v>
      </c>
      <c r="D647" s="5">
        <v>45196</v>
      </c>
      <c r="E647" s="3">
        <v>0.625</v>
      </c>
      <c r="F647" t="b">
        <v>0</v>
      </c>
      <c r="G647" s="11" t="s">
        <v>305</v>
      </c>
      <c r="H647" s="3" t="s">
        <v>306</v>
      </c>
      <c r="I647" t="b">
        <v>0</v>
      </c>
    </row>
    <row r="648" spans="1:9" ht="15" hidden="1" customHeight="1" x14ac:dyDescent="0.2">
      <c r="A648" s="3" t="s">
        <v>304</v>
      </c>
      <c r="B648" s="5">
        <v>45197</v>
      </c>
      <c r="C648" s="3">
        <v>0.70833333333333337</v>
      </c>
      <c r="D648" s="5">
        <v>45197</v>
      </c>
      <c r="E648" s="3">
        <v>0.75</v>
      </c>
      <c r="F648" t="b">
        <v>0</v>
      </c>
      <c r="G648" s="11" t="s">
        <v>305</v>
      </c>
      <c r="H648" s="3" t="s">
        <v>306</v>
      </c>
      <c r="I648" t="b">
        <v>0</v>
      </c>
    </row>
    <row r="649" spans="1:9" ht="15" hidden="1" customHeight="1" x14ac:dyDescent="0.2">
      <c r="A649" s="3" t="s">
        <v>304</v>
      </c>
      <c r="B649" s="5">
        <v>45202</v>
      </c>
      <c r="C649" s="3">
        <v>0.625</v>
      </c>
      <c r="D649" s="5">
        <v>45202</v>
      </c>
      <c r="E649" s="3">
        <v>0.66666666666666663</v>
      </c>
      <c r="F649" s="3" t="b">
        <v>0</v>
      </c>
      <c r="G649" s="3" t="s">
        <v>305</v>
      </c>
      <c r="H649" s="3" t="s">
        <v>306</v>
      </c>
      <c r="I649" s="3" t="b">
        <v>0</v>
      </c>
    </row>
    <row r="650" spans="1:9" ht="15" hidden="1" customHeight="1" x14ac:dyDescent="0.2">
      <c r="A650" s="3" t="s">
        <v>304</v>
      </c>
      <c r="B650" s="5">
        <v>45203</v>
      </c>
      <c r="C650" s="3">
        <v>0.58333333333333337</v>
      </c>
      <c r="D650" s="5">
        <v>45203</v>
      </c>
      <c r="E650" s="3">
        <v>0.625</v>
      </c>
      <c r="F650" s="3" t="b">
        <v>0</v>
      </c>
      <c r="G650" s="3" t="s">
        <v>305</v>
      </c>
      <c r="H650" s="3" t="s">
        <v>306</v>
      </c>
      <c r="I650" s="3" t="b">
        <v>0</v>
      </c>
    </row>
    <row r="651" spans="1:9" ht="15" hidden="1" customHeight="1" x14ac:dyDescent="0.2">
      <c r="A651" s="3" t="s">
        <v>304</v>
      </c>
      <c r="B651" s="5">
        <v>45204</v>
      </c>
      <c r="C651" s="3">
        <v>0.70833333333333337</v>
      </c>
      <c r="D651" s="5">
        <v>45204</v>
      </c>
      <c r="E651" s="3">
        <v>0.75</v>
      </c>
      <c r="F651" s="3" t="b">
        <v>0</v>
      </c>
      <c r="G651" s="3" t="s">
        <v>305</v>
      </c>
      <c r="H651" s="3" t="s">
        <v>306</v>
      </c>
      <c r="I651" s="3" t="b">
        <v>0</v>
      </c>
    </row>
    <row r="652" spans="1:9" ht="15" hidden="1" customHeight="1" x14ac:dyDescent="0.2">
      <c r="A652" s="3" t="s">
        <v>304</v>
      </c>
      <c r="B652" s="5">
        <v>45209</v>
      </c>
      <c r="C652" s="3">
        <v>0.625</v>
      </c>
      <c r="D652" s="5">
        <v>45209</v>
      </c>
      <c r="E652" s="3">
        <v>0.66666666666666663</v>
      </c>
      <c r="F652" s="3" t="b">
        <v>0</v>
      </c>
      <c r="G652" s="3" t="s">
        <v>305</v>
      </c>
      <c r="H652" s="3" t="s">
        <v>306</v>
      </c>
      <c r="I652" s="3" t="b">
        <v>0</v>
      </c>
    </row>
    <row r="653" spans="1:9" ht="15" hidden="1" customHeight="1" x14ac:dyDescent="0.2">
      <c r="A653" s="3" t="s">
        <v>304</v>
      </c>
      <c r="B653" s="5">
        <v>45210</v>
      </c>
      <c r="C653" s="3">
        <v>0.58333333333333337</v>
      </c>
      <c r="D653" s="5">
        <v>45210</v>
      </c>
      <c r="E653" s="3">
        <v>0.625</v>
      </c>
      <c r="F653" s="3" t="b">
        <v>0</v>
      </c>
      <c r="G653" s="3" t="s">
        <v>305</v>
      </c>
      <c r="H653" s="3" t="s">
        <v>306</v>
      </c>
      <c r="I653" s="3" t="b">
        <v>0</v>
      </c>
    </row>
    <row r="654" spans="1:9" ht="15" hidden="1" customHeight="1" x14ac:dyDescent="0.2">
      <c r="A654" s="3" t="s">
        <v>304</v>
      </c>
      <c r="B654" s="5">
        <v>45211</v>
      </c>
      <c r="C654" s="3">
        <v>0.70833333333333337</v>
      </c>
      <c r="D654" s="5">
        <v>45211</v>
      </c>
      <c r="E654" s="3">
        <v>0.75</v>
      </c>
      <c r="F654" s="3" t="b">
        <v>0</v>
      </c>
      <c r="G654" s="3" t="s">
        <v>305</v>
      </c>
      <c r="H654" s="3" t="s">
        <v>306</v>
      </c>
      <c r="I654" s="3" t="b">
        <v>0</v>
      </c>
    </row>
    <row r="655" spans="1:9" ht="15" hidden="1" customHeight="1" x14ac:dyDescent="0.2">
      <c r="A655" s="3" t="s">
        <v>304</v>
      </c>
      <c r="B655" s="5">
        <v>45216</v>
      </c>
      <c r="C655" s="3">
        <v>0.625</v>
      </c>
      <c r="D655" s="5">
        <v>45216</v>
      </c>
      <c r="E655" s="3">
        <v>0.66666666666666663</v>
      </c>
      <c r="F655" s="3" t="b">
        <v>0</v>
      </c>
      <c r="G655" s="3" t="s">
        <v>305</v>
      </c>
      <c r="H655" s="3" t="s">
        <v>306</v>
      </c>
      <c r="I655" s="3" t="b">
        <v>0</v>
      </c>
    </row>
    <row r="656" spans="1:9" ht="15" hidden="1" customHeight="1" x14ac:dyDescent="0.2">
      <c r="A656" s="3" t="s">
        <v>304</v>
      </c>
      <c r="B656" s="5">
        <v>45217</v>
      </c>
      <c r="C656" s="3">
        <v>0.58333333333333337</v>
      </c>
      <c r="D656" s="5">
        <v>45217</v>
      </c>
      <c r="E656" s="3">
        <v>0.625</v>
      </c>
      <c r="F656" s="3" t="b">
        <v>0</v>
      </c>
      <c r="G656" s="3" t="s">
        <v>305</v>
      </c>
      <c r="H656" s="3" t="s">
        <v>306</v>
      </c>
      <c r="I656" s="3" t="b">
        <v>0</v>
      </c>
    </row>
    <row r="657" spans="1:9" ht="15" hidden="1" customHeight="1" x14ac:dyDescent="0.2">
      <c r="A657" s="3" t="s">
        <v>304</v>
      </c>
      <c r="B657" s="5">
        <v>45218</v>
      </c>
      <c r="C657" s="3">
        <v>0.70833333333333337</v>
      </c>
      <c r="D657" s="5">
        <v>45218</v>
      </c>
      <c r="E657" s="3">
        <v>0.75</v>
      </c>
      <c r="F657" s="3" t="b">
        <v>0</v>
      </c>
      <c r="G657" s="3" t="s">
        <v>305</v>
      </c>
      <c r="H657" s="3" t="s">
        <v>306</v>
      </c>
      <c r="I657" s="3" t="b">
        <v>0</v>
      </c>
    </row>
    <row r="658" spans="1:9" ht="15" hidden="1" customHeight="1" x14ac:dyDescent="0.2">
      <c r="A658" s="3" t="s">
        <v>304</v>
      </c>
      <c r="B658" s="5">
        <v>45223</v>
      </c>
      <c r="C658" s="3">
        <v>0.625</v>
      </c>
      <c r="D658" s="5">
        <v>45223</v>
      </c>
      <c r="E658" s="3">
        <v>0.66666666666666663</v>
      </c>
      <c r="F658" s="3" t="b">
        <v>0</v>
      </c>
      <c r="G658" s="3" t="s">
        <v>305</v>
      </c>
      <c r="H658" s="3" t="s">
        <v>306</v>
      </c>
      <c r="I658" s="3" t="b">
        <v>0</v>
      </c>
    </row>
    <row r="659" spans="1:9" ht="15" hidden="1" customHeight="1" x14ac:dyDescent="0.2">
      <c r="A659" s="3" t="s">
        <v>304</v>
      </c>
      <c r="B659" s="5">
        <v>45224</v>
      </c>
      <c r="C659" s="3">
        <v>0.58333333333333337</v>
      </c>
      <c r="D659" s="5">
        <v>45224</v>
      </c>
      <c r="E659" s="3">
        <v>0.625</v>
      </c>
      <c r="F659" s="3" t="b">
        <v>0</v>
      </c>
      <c r="G659" s="3" t="s">
        <v>305</v>
      </c>
      <c r="H659" s="3" t="s">
        <v>306</v>
      </c>
      <c r="I659" s="3" t="b">
        <v>0</v>
      </c>
    </row>
    <row r="660" spans="1:9" ht="15" hidden="1" customHeight="1" x14ac:dyDescent="0.2">
      <c r="A660" s="3" t="s">
        <v>304</v>
      </c>
      <c r="B660" s="5">
        <v>45225</v>
      </c>
      <c r="C660" s="3">
        <v>0.70833333333333337</v>
      </c>
      <c r="D660" s="5">
        <v>45225</v>
      </c>
      <c r="E660" s="3">
        <v>0.75</v>
      </c>
      <c r="F660" s="3" t="b">
        <v>0</v>
      </c>
      <c r="G660" s="3" t="s">
        <v>305</v>
      </c>
      <c r="H660" s="3" t="s">
        <v>306</v>
      </c>
      <c r="I660" s="3" t="b">
        <v>0</v>
      </c>
    </row>
    <row r="661" spans="1:9" ht="15" hidden="1" customHeight="1" x14ac:dyDescent="0.2">
      <c r="A661" s="3" t="s">
        <v>304</v>
      </c>
      <c r="B661" s="5">
        <v>45230</v>
      </c>
      <c r="C661" s="3">
        <v>0.625</v>
      </c>
      <c r="D661" s="5">
        <v>45230</v>
      </c>
      <c r="E661" s="3">
        <v>0.66666666666666663</v>
      </c>
      <c r="F661" s="3" t="b">
        <v>0</v>
      </c>
      <c r="G661" s="3" t="s">
        <v>305</v>
      </c>
      <c r="H661" s="3" t="s">
        <v>306</v>
      </c>
      <c r="I661" s="3" t="b">
        <v>0</v>
      </c>
    </row>
    <row r="662" spans="1:9" ht="15" hidden="1" customHeight="1" x14ac:dyDescent="0.2">
      <c r="A662" s="3" t="s">
        <v>304</v>
      </c>
      <c r="B662" s="5">
        <v>45231</v>
      </c>
      <c r="C662" s="3">
        <v>0.58333333333333337</v>
      </c>
      <c r="D662" s="5">
        <v>45231</v>
      </c>
      <c r="E662" s="3">
        <v>0.625</v>
      </c>
      <c r="F662" s="3" t="b">
        <v>0</v>
      </c>
      <c r="G662" s="3" t="s">
        <v>305</v>
      </c>
      <c r="H662" s="3" t="s">
        <v>306</v>
      </c>
      <c r="I662" s="3" t="b">
        <v>0</v>
      </c>
    </row>
    <row r="663" spans="1:9" ht="15" hidden="1" customHeight="1" x14ac:dyDescent="0.2">
      <c r="A663" s="3" t="s">
        <v>304</v>
      </c>
      <c r="B663" s="5">
        <v>45232</v>
      </c>
      <c r="C663" s="3">
        <v>0.70833333333333337</v>
      </c>
      <c r="D663" s="5">
        <v>45232</v>
      </c>
      <c r="E663" s="3">
        <v>0.75</v>
      </c>
      <c r="F663" s="3" t="b">
        <v>0</v>
      </c>
      <c r="G663" s="3" t="s">
        <v>305</v>
      </c>
      <c r="H663" s="3" t="s">
        <v>306</v>
      </c>
      <c r="I663" s="3" t="b">
        <v>0</v>
      </c>
    </row>
    <row r="664" spans="1:9" ht="15" hidden="1" customHeight="1" x14ac:dyDescent="0.2">
      <c r="A664" s="3" t="s">
        <v>304</v>
      </c>
      <c r="B664" s="5">
        <v>45237</v>
      </c>
      <c r="C664" s="3">
        <v>0.625</v>
      </c>
      <c r="D664" s="5">
        <v>45237</v>
      </c>
      <c r="E664" s="3">
        <v>0.66666666666666663</v>
      </c>
      <c r="F664" s="3" t="b">
        <v>0</v>
      </c>
      <c r="G664" s="3" t="s">
        <v>305</v>
      </c>
      <c r="H664" s="3" t="s">
        <v>306</v>
      </c>
      <c r="I664" s="3" t="b">
        <v>0</v>
      </c>
    </row>
    <row r="665" spans="1:9" ht="15" hidden="1" customHeight="1" x14ac:dyDescent="0.2">
      <c r="A665" s="3" t="s">
        <v>304</v>
      </c>
      <c r="B665" s="5">
        <v>45238</v>
      </c>
      <c r="C665" s="3">
        <v>0.58333333333333337</v>
      </c>
      <c r="D665" s="5">
        <v>45238</v>
      </c>
      <c r="E665" s="3">
        <v>0.625</v>
      </c>
      <c r="F665" s="3" t="b">
        <v>0</v>
      </c>
      <c r="G665" s="3" t="s">
        <v>305</v>
      </c>
      <c r="H665" s="3" t="s">
        <v>306</v>
      </c>
      <c r="I665" s="3" t="b">
        <v>0</v>
      </c>
    </row>
    <row r="666" spans="1:9" ht="15" hidden="1" customHeight="1" x14ac:dyDescent="0.2">
      <c r="A666" s="3" t="s">
        <v>304</v>
      </c>
      <c r="B666" s="5">
        <v>45239</v>
      </c>
      <c r="C666" s="3">
        <v>0.70833333333333337</v>
      </c>
      <c r="D666" s="5">
        <v>45239</v>
      </c>
      <c r="E666" s="3">
        <v>0.75</v>
      </c>
      <c r="F666" s="3" t="b">
        <v>0</v>
      </c>
      <c r="G666" s="3" t="s">
        <v>305</v>
      </c>
      <c r="H666" s="3" t="s">
        <v>306</v>
      </c>
      <c r="I666" s="3" t="b">
        <v>0</v>
      </c>
    </row>
    <row r="667" spans="1:9" ht="15" hidden="1" customHeight="1" x14ac:dyDescent="0.2">
      <c r="A667" s="6" t="s">
        <v>248</v>
      </c>
      <c r="B667" s="5">
        <v>45195</v>
      </c>
      <c r="C667" s="3">
        <v>0.35416666666666669</v>
      </c>
      <c r="D667" s="5">
        <v>45195</v>
      </c>
      <c r="E667" s="3">
        <v>0.39583333333333337</v>
      </c>
      <c r="F667" t="b">
        <v>0</v>
      </c>
      <c r="G667" s="7" t="s">
        <v>249</v>
      </c>
      <c r="H667" t="s">
        <v>236</v>
      </c>
      <c r="I667" t="b">
        <v>0</v>
      </c>
    </row>
    <row r="668" spans="1:9" ht="15" hidden="1" customHeight="1" x14ac:dyDescent="0.2">
      <c r="A668" s="6" t="s">
        <v>248</v>
      </c>
      <c r="B668" s="5">
        <v>45197</v>
      </c>
      <c r="C668" s="3">
        <v>0.47916666666666669</v>
      </c>
      <c r="D668" s="5">
        <v>45197</v>
      </c>
      <c r="E668" s="3">
        <v>0.52083333333333337</v>
      </c>
      <c r="F668" t="b">
        <v>0</v>
      </c>
      <c r="G668" s="7" t="s">
        <v>249</v>
      </c>
      <c r="H668" t="s">
        <v>236</v>
      </c>
      <c r="I668" t="b">
        <v>0</v>
      </c>
    </row>
    <row r="669" spans="1:9" ht="15" hidden="1" customHeight="1" x14ac:dyDescent="0.2">
      <c r="A669" s="6" t="s">
        <v>248</v>
      </c>
      <c r="B669" s="5">
        <v>45198</v>
      </c>
      <c r="C669" s="3">
        <v>0.625</v>
      </c>
      <c r="D669" s="5">
        <v>45198</v>
      </c>
      <c r="E669" s="3">
        <v>0.66666666666666663</v>
      </c>
      <c r="F669" t="b">
        <v>0</v>
      </c>
      <c r="G669" s="7" t="s">
        <v>249</v>
      </c>
      <c r="H669" t="s">
        <v>236</v>
      </c>
      <c r="I669" t="b">
        <v>0</v>
      </c>
    </row>
    <row r="670" spans="1:9" ht="15" hidden="1" customHeight="1" x14ac:dyDescent="0.2">
      <c r="A670" s="3" t="s">
        <v>248</v>
      </c>
      <c r="B670" s="5">
        <v>45202</v>
      </c>
      <c r="C670" s="3">
        <v>0.35416666666666669</v>
      </c>
      <c r="D670" s="5">
        <v>45202</v>
      </c>
      <c r="E670" s="3">
        <v>0.39583333333333337</v>
      </c>
      <c r="F670" t="b">
        <v>0</v>
      </c>
      <c r="G670" s="3" t="s">
        <v>249</v>
      </c>
      <c r="H670" s="3" t="s">
        <v>236</v>
      </c>
      <c r="I670" t="b">
        <v>0</v>
      </c>
    </row>
    <row r="671" spans="1:9" ht="15" hidden="1" customHeight="1" x14ac:dyDescent="0.2">
      <c r="A671" s="3" t="s">
        <v>248</v>
      </c>
      <c r="B671" s="5">
        <v>45204</v>
      </c>
      <c r="C671" s="3">
        <v>0.47916666666666669</v>
      </c>
      <c r="D671" s="5">
        <v>45204</v>
      </c>
      <c r="E671" s="3">
        <v>0.52083333333333337</v>
      </c>
      <c r="F671" t="b">
        <v>0</v>
      </c>
      <c r="G671" s="3" t="s">
        <v>249</v>
      </c>
      <c r="H671" s="3" t="s">
        <v>236</v>
      </c>
      <c r="I671" t="b">
        <v>0</v>
      </c>
    </row>
    <row r="672" spans="1:9" ht="15" hidden="1" customHeight="1" x14ac:dyDescent="0.2">
      <c r="A672" s="3" t="s">
        <v>248</v>
      </c>
      <c r="B672" s="5">
        <v>45205</v>
      </c>
      <c r="C672" s="3">
        <v>0.625</v>
      </c>
      <c r="D672" s="5">
        <v>45205</v>
      </c>
      <c r="E672" s="3">
        <v>0.66666666666666663</v>
      </c>
      <c r="F672" t="b">
        <v>0</v>
      </c>
      <c r="G672" s="3" t="s">
        <v>249</v>
      </c>
      <c r="H672" s="3" t="s">
        <v>236</v>
      </c>
      <c r="I672" t="b">
        <v>0</v>
      </c>
    </row>
    <row r="673" spans="1:9" ht="15" hidden="1" customHeight="1" x14ac:dyDescent="0.2">
      <c r="A673" s="3" t="s">
        <v>248</v>
      </c>
      <c r="B673" s="5">
        <v>45209</v>
      </c>
      <c r="C673" s="3">
        <v>0.35416666666666669</v>
      </c>
      <c r="D673" s="5">
        <v>45209</v>
      </c>
      <c r="E673" s="3">
        <v>0.39583333333333337</v>
      </c>
      <c r="F673" t="b">
        <v>0</v>
      </c>
      <c r="G673" s="3" t="s">
        <v>249</v>
      </c>
      <c r="H673" s="3" t="s">
        <v>236</v>
      </c>
      <c r="I673" t="b">
        <v>0</v>
      </c>
    </row>
    <row r="674" spans="1:9" ht="15" hidden="1" customHeight="1" x14ac:dyDescent="0.2">
      <c r="A674" s="3" t="s">
        <v>248</v>
      </c>
      <c r="B674" s="5">
        <v>45211</v>
      </c>
      <c r="C674" s="3">
        <v>0.47916666666666669</v>
      </c>
      <c r="D674" s="5">
        <v>45211</v>
      </c>
      <c r="E674" s="3">
        <v>0.52083333333333337</v>
      </c>
      <c r="F674" t="b">
        <v>0</v>
      </c>
      <c r="G674" s="3" t="s">
        <v>249</v>
      </c>
      <c r="H674" s="3" t="s">
        <v>236</v>
      </c>
      <c r="I674" t="b">
        <v>0</v>
      </c>
    </row>
    <row r="675" spans="1:9" ht="15" hidden="1" customHeight="1" x14ac:dyDescent="0.2">
      <c r="A675" s="3" t="s">
        <v>248</v>
      </c>
      <c r="B675" s="5">
        <v>45212</v>
      </c>
      <c r="C675" s="3">
        <v>0.625</v>
      </c>
      <c r="D675" s="5">
        <v>45212</v>
      </c>
      <c r="E675" s="3">
        <v>0.66666666666666663</v>
      </c>
      <c r="F675" t="b">
        <v>0</v>
      </c>
      <c r="G675" s="3" t="s">
        <v>249</v>
      </c>
      <c r="H675" s="3" t="s">
        <v>236</v>
      </c>
      <c r="I675" t="b">
        <v>0</v>
      </c>
    </row>
    <row r="676" spans="1:9" ht="15" hidden="1" customHeight="1" x14ac:dyDescent="0.2">
      <c r="A676" s="3" t="s">
        <v>248</v>
      </c>
      <c r="B676" s="5">
        <v>45216</v>
      </c>
      <c r="C676" s="3">
        <v>0.35416666666666669</v>
      </c>
      <c r="D676" s="5">
        <v>45216</v>
      </c>
      <c r="E676" s="3">
        <v>0.39583333333333337</v>
      </c>
      <c r="F676" t="b">
        <v>0</v>
      </c>
      <c r="G676" s="3" t="s">
        <v>249</v>
      </c>
      <c r="H676" s="3" t="s">
        <v>236</v>
      </c>
      <c r="I676" t="b">
        <v>0</v>
      </c>
    </row>
    <row r="677" spans="1:9" ht="15" hidden="1" customHeight="1" x14ac:dyDescent="0.2">
      <c r="A677" s="3" t="s">
        <v>248</v>
      </c>
      <c r="B677" s="5">
        <v>45218</v>
      </c>
      <c r="C677" s="3">
        <v>0.47916666666666669</v>
      </c>
      <c r="D677" s="5">
        <v>45218</v>
      </c>
      <c r="E677" s="3">
        <v>0.52083333333333337</v>
      </c>
      <c r="F677" t="b">
        <v>0</v>
      </c>
      <c r="G677" s="3" t="s">
        <v>249</v>
      </c>
      <c r="H677" s="3" t="s">
        <v>236</v>
      </c>
      <c r="I677" t="b">
        <v>0</v>
      </c>
    </row>
    <row r="678" spans="1:9" ht="15" hidden="1" customHeight="1" x14ac:dyDescent="0.2">
      <c r="A678" s="3" t="s">
        <v>248</v>
      </c>
      <c r="B678" s="5">
        <v>45219</v>
      </c>
      <c r="C678" s="3">
        <v>0.625</v>
      </c>
      <c r="D678" s="5">
        <v>45219</v>
      </c>
      <c r="E678" s="3">
        <v>0.66666666666666663</v>
      </c>
      <c r="F678" t="b">
        <v>0</v>
      </c>
      <c r="G678" s="3" t="s">
        <v>249</v>
      </c>
      <c r="H678" s="3" t="s">
        <v>236</v>
      </c>
      <c r="I678" t="b">
        <v>0</v>
      </c>
    </row>
    <row r="679" spans="1:9" ht="15" hidden="1" customHeight="1" x14ac:dyDescent="0.2">
      <c r="A679" s="3" t="s">
        <v>248</v>
      </c>
      <c r="B679" s="5">
        <v>45223</v>
      </c>
      <c r="C679" s="3">
        <v>0.35416666666666669</v>
      </c>
      <c r="D679" s="5">
        <v>45223</v>
      </c>
      <c r="E679" s="3">
        <v>0.39583333333333337</v>
      </c>
      <c r="F679" t="b">
        <v>0</v>
      </c>
      <c r="G679" s="3" t="s">
        <v>249</v>
      </c>
      <c r="H679" s="3" t="s">
        <v>236</v>
      </c>
      <c r="I679" t="b">
        <v>0</v>
      </c>
    </row>
    <row r="680" spans="1:9" ht="15" hidden="1" customHeight="1" x14ac:dyDescent="0.2">
      <c r="A680" s="3" t="s">
        <v>248</v>
      </c>
      <c r="B680" s="5">
        <v>45225</v>
      </c>
      <c r="C680" s="3">
        <v>0.47916666666666669</v>
      </c>
      <c r="D680" s="5">
        <v>45225</v>
      </c>
      <c r="E680" s="3">
        <v>0.52083333333333337</v>
      </c>
      <c r="F680" t="b">
        <v>0</v>
      </c>
      <c r="G680" s="3" t="s">
        <v>249</v>
      </c>
      <c r="H680" s="3" t="s">
        <v>236</v>
      </c>
      <c r="I680" t="b">
        <v>0</v>
      </c>
    </row>
    <row r="681" spans="1:9" ht="15" hidden="1" customHeight="1" x14ac:dyDescent="0.2">
      <c r="A681" s="3" t="s">
        <v>248</v>
      </c>
      <c r="B681" s="5">
        <v>45226</v>
      </c>
      <c r="C681" s="3">
        <v>0.625</v>
      </c>
      <c r="D681" s="5">
        <v>45226</v>
      </c>
      <c r="E681" s="3">
        <v>0.66666666666666663</v>
      </c>
      <c r="F681" t="b">
        <v>0</v>
      </c>
      <c r="G681" s="3" t="s">
        <v>249</v>
      </c>
      <c r="H681" s="3" t="s">
        <v>236</v>
      </c>
      <c r="I681" t="b">
        <v>0</v>
      </c>
    </row>
    <row r="682" spans="1:9" ht="15" hidden="1" customHeight="1" x14ac:dyDescent="0.2">
      <c r="A682" s="3" t="s">
        <v>248</v>
      </c>
      <c r="B682" s="5">
        <v>45230</v>
      </c>
      <c r="C682" s="3">
        <v>0.35416666666666669</v>
      </c>
      <c r="D682" s="5">
        <v>45230</v>
      </c>
      <c r="E682" s="3">
        <v>0.39583333333333337</v>
      </c>
      <c r="F682" t="b">
        <v>0</v>
      </c>
      <c r="G682" s="3" t="s">
        <v>249</v>
      </c>
      <c r="H682" s="3" t="s">
        <v>236</v>
      </c>
      <c r="I682" t="b">
        <v>0</v>
      </c>
    </row>
    <row r="683" spans="1:9" ht="15" hidden="1" customHeight="1" x14ac:dyDescent="0.2">
      <c r="A683" s="3" t="s">
        <v>248</v>
      </c>
      <c r="B683" s="5">
        <v>45232</v>
      </c>
      <c r="C683" s="3">
        <v>0.47916666666666669</v>
      </c>
      <c r="D683" s="5">
        <v>45232</v>
      </c>
      <c r="E683" s="3">
        <v>0.52083333333333337</v>
      </c>
      <c r="F683" t="b">
        <v>0</v>
      </c>
      <c r="G683" s="3" t="s">
        <v>249</v>
      </c>
      <c r="H683" s="3" t="s">
        <v>236</v>
      </c>
      <c r="I683" t="b">
        <v>0</v>
      </c>
    </row>
    <row r="684" spans="1:9" ht="15" hidden="1" customHeight="1" x14ac:dyDescent="0.2">
      <c r="A684" s="3" t="s">
        <v>248</v>
      </c>
      <c r="B684" s="5">
        <v>45233</v>
      </c>
      <c r="C684" s="3">
        <v>0.625</v>
      </c>
      <c r="D684" s="5">
        <v>45233</v>
      </c>
      <c r="E684" s="3">
        <v>0.66666666666666663</v>
      </c>
      <c r="F684" t="b">
        <v>0</v>
      </c>
      <c r="G684" s="3" t="s">
        <v>249</v>
      </c>
      <c r="H684" s="3" t="s">
        <v>236</v>
      </c>
      <c r="I684" t="b">
        <v>0</v>
      </c>
    </row>
    <row r="685" spans="1:9" ht="15" hidden="1" customHeight="1" x14ac:dyDescent="0.2">
      <c r="A685" s="3" t="s">
        <v>248</v>
      </c>
      <c r="B685" s="5">
        <v>45237</v>
      </c>
      <c r="C685" s="3">
        <v>0.35416666666666669</v>
      </c>
      <c r="D685" s="5">
        <v>45237</v>
      </c>
      <c r="E685" s="3">
        <v>0.39583333333333337</v>
      </c>
      <c r="F685" t="b">
        <v>0</v>
      </c>
      <c r="G685" s="3" t="s">
        <v>249</v>
      </c>
      <c r="H685" s="3" t="s">
        <v>236</v>
      </c>
      <c r="I685" t="b">
        <v>0</v>
      </c>
    </row>
    <row r="686" spans="1:9" ht="15" hidden="1" customHeight="1" x14ac:dyDescent="0.2">
      <c r="A686" s="3" t="s">
        <v>248</v>
      </c>
      <c r="B686" s="5">
        <v>45239</v>
      </c>
      <c r="C686" s="3">
        <v>0.47916666666666669</v>
      </c>
      <c r="D686" s="5">
        <v>45239</v>
      </c>
      <c r="E686" s="3">
        <v>0.52083333333333337</v>
      </c>
      <c r="F686" t="b">
        <v>0</v>
      </c>
      <c r="G686" s="3" t="s">
        <v>249</v>
      </c>
      <c r="H686" s="3" t="s">
        <v>236</v>
      </c>
      <c r="I686" t="b">
        <v>0</v>
      </c>
    </row>
    <row r="687" spans="1:9" ht="15" hidden="1" customHeight="1" x14ac:dyDescent="0.2">
      <c r="A687" s="3" t="s">
        <v>248</v>
      </c>
      <c r="B687" s="5">
        <v>45240</v>
      </c>
      <c r="C687" s="3">
        <v>0.625</v>
      </c>
      <c r="D687" s="5">
        <v>45240</v>
      </c>
      <c r="E687" s="3">
        <v>0.66666666666666663</v>
      </c>
      <c r="F687" t="b">
        <v>0</v>
      </c>
      <c r="G687" s="3" t="s">
        <v>249</v>
      </c>
      <c r="H687" s="3" t="s">
        <v>236</v>
      </c>
      <c r="I687" t="b">
        <v>0</v>
      </c>
    </row>
    <row r="688" spans="1:9" ht="15" hidden="1" customHeight="1" x14ac:dyDescent="0.2">
      <c r="A688" s="6" t="s">
        <v>271</v>
      </c>
      <c r="B688" s="10">
        <v>45195</v>
      </c>
      <c r="C688" s="3">
        <v>0.625</v>
      </c>
      <c r="D688" s="5">
        <v>45195</v>
      </c>
      <c r="E688" s="3">
        <v>0.66666666666666663</v>
      </c>
      <c r="F688" t="b">
        <v>0</v>
      </c>
      <c r="G688" s="7" t="s">
        <v>272</v>
      </c>
      <c r="H688" t="s">
        <v>236</v>
      </c>
      <c r="I688" t="b">
        <v>0</v>
      </c>
    </row>
    <row r="689" spans="1:9" ht="15" hidden="1" customHeight="1" x14ac:dyDescent="0.2">
      <c r="A689" s="6" t="s">
        <v>271</v>
      </c>
      <c r="B689" s="5">
        <v>45196</v>
      </c>
      <c r="C689" s="3">
        <v>0.58333333333333337</v>
      </c>
      <c r="D689" s="5">
        <v>45196</v>
      </c>
      <c r="E689" s="3">
        <v>0.625</v>
      </c>
      <c r="F689" t="b">
        <v>0</v>
      </c>
      <c r="G689" s="7" t="s">
        <v>272</v>
      </c>
      <c r="H689" t="s">
        <v>236</v>
      </c>
      <c r="I689" t="b">
        <v>0</v>
      </c>
    </row>
    <row r="690" spans="1:9" ht="15" hidden="1" customHeight="1" x14ac:dyDescent="0.2">
      <c r="A690" s="6" t="s">
        <v>271</v>
      </c>
      <c r="B690" s="5">
        <v>45197</v>
      </c>
      <c r="C690" s="3">
        <v>0.70833333333333337</v>
      </c>
      <c r="D690" s="5">
        <v>45197</v>
      </c>
      <c r="E690" s="3">
        <v>0.75</v>
      </c>
      <c r="F690" t="b">
        <v>0</v>
      </c>
      <c r="G690" s="7" t="s">
        <v>272</v>
      </c>
      <c r="H690" t="s">
        <v>236</v>
      </c>
      <c r="I690" t="b">
        <v>0</v>
      </c>
    </row>
    <row r="691" spans="1:9" ht="15" hidden="1" customHeight="1" x14ac:dyDescent="0.2">
      <c r="A691" s="3" t="s">
        <v>271</v>
      </c>
      <c r="B691" s="5">
        <v>45202</v>
      </c>
      <c r="C691" s="3">
        <v>0.625</v>
      </c>
      <c r="D691" s="5">
        <v>45202</v>
      </c>
      <c r="E691" s="3">
        <v>0.66666666666666663</v>
      </c>
      <c r="F691" t="b">
        <v>0</v>
      </c>
      <c r="G691" s="3" t="s">
        <v>272</v>
      </c>
      <c r="H691" s="3" t="s">
        <v>236</v>
      </c>
      <c r="I691" t="b">
        <v>0</v>
      </c>
    </row>
    <row r="692" spans="1:9" ht="15" hidden="1" customHeight="1" x14ac:dyDescent="0.2">
      <c r="A692" s="3" t="s">
        <v>271</v>
      </c>
      <c r="B692" s="5">
        <v>45203</v>
      </c>
      <c r="C692" s="3">
        <v>0.58333333333333337</v>
      </c>
      <c r="D692" s="5">
        <v>45203</v>
      </c>
      <c r="E692" s="3">
        <v>0.625</v>
      </c>
      <c r="F692" t="b">
        <v>0</v>
      </c>
      <c r="G692" s="3" t="s">
        <v>272</v>
      </c>
      <c r="H692" s="3" t="s">
        <v>236</v>
      </c>
      <c r="I692" t="b">
        <v>0</v>
      </c>
    </row>
    <row r="693" spans="1:9" ht="15" hidden="1" customHeight="1" x14ac:dyDescent="0.2">
      <c r="A693" s="3" t="s">
        <v>271</v>
      </c>
      <c r="B693" s="5">
        <v>45204</v>
      </c>
      <c r="C693" s="3">
        <v>0.70833333333333337</v>
      </c>
      <c r="D693" s="5">
        <v>45204</v>
      </c>
      <c r="E693" s="3">
        <v>0.75</v>
      </c>
      <c r="F693" t="b">
        <v>0</v>
      </c>
      <c r="G693" s="3" t="s">
        <v>272</v>
      </c>
      <c r="H693" s="3" t="s">
        <v>236</v>
      </c>
      <c r="I693" t="b">
        <v>0</v>
      </c>
    </row>
    <row r="694" spans="1:9" ht="15" hidden="1" customHeight="1" x14ac:dyDescent="0.2">
      <c r="A694" s="3" t="s">
        <v>271</v>
      </c>
      <c r="B694" s="5">
        <v>45209</v>
      </c>
      <c r="C694" s="3">
        <v>0.625</v>
      </c>
      <c r="D694" s="5">
        <v>45209</v>
      </c>
      <c r="E694" s="3">
        <v>0.66666666666666663</v>
      </c>
      <c r="F694" t="b">
        <v>0</v>
      </c>
      <c r="G694" s="3" t="s">
        <v>272</v>
      </c>
      <c r="H694" s="3" t="s">
        <v>236</v>
      </c>
      <c r="I694" t="b">
        <v>0</v>
      </c>
    </row>
    <row r="695" spans="1:9" ht="15" hidden="1" customHeight="1" x14ac:dyDescent="0.2">
      <c r="A695" s="3" t="s">
        <v>271</v>
      </c>
      <c r="B695" s="5">
        <v>45210</v>
      </c>
      <c r="C695" s="3">
        <v>0.58333333333333337</v>
      </c>
      <c r="D695" s="5">
        <v>45210</v>
      </c>
      <c r="E695" s="3">
        <v>0.625</v>
      </c>
      <c r="F695" t="b">
        <v>0</v>
      </c>
      <c r="G695" s="3" t="s">
        <v>272</v>
      </c>
      <c r="H695" s="3" t="s">
        <v>236</v>
      </c>
      <c r="I695" t="b">
        <v>0</v>
      </c>
    </row>
    <row r="696" spans="1:9" ht="15" hidden="1" customHeight="1" x14ac:dyDescent="0.2">
      <c r="A696" s="3" t="s">
        <v>271</v>
      </c>
      <c r="B696" s="5">
        <v>45211</v>
      </c>
      <c r="C696" s="3">
        <v>0.70833333333333337</v>
      </c>
      <c r="D696" s="5">
        <v>45211</v>
      </c>
      <c r="E696" s="3">
        <v>0.75</v>
      </c>
      <c r="F696" t="b">
        <v>0</v>
      </c>
      <c r="G696" s="3" t="s">
        <v>272</v>
      </c>
      <c r="H696" s="3" t="s">
        <v>236</v>
      </c>
      <c r="I696" t="b">
        <v>0</v>
      </c>
    </row>
    <row r="697" spans="1:9" ht="15" hidden="1" customHeight="1" x14ac:dyDescent="0.2">
      <c r="A697" s="3" t="s">
        <v>271</v>
      </c>
      <c r="B697" s="5">
        <v>45216</v>
      </c>
      <c r="C697" s="3">
        <v>0.625</v>
      </c>
      <c r="D697" s="5">
        <v>45216</v>
      </c>
      <c r="E697" s="3">
        <v>0.66666666666666663</v>
      </c>
      <c r="F697" t="b">
        <v>0</v>
      </c>
      <c r="G697" s="3" t="s">
        <v>272</v>
      </c>
      <c r="H697" s="3" t="s">
        <v>236</v>
      </c>
      <c r="I697" t="b">
        <v>0</v>
      </c>
    </row>
    <row r="698" spans="1:9" ht="15" hidden="1" customHeight="1" x14ac:dyDescent="0.2">
      <c r="A698" s="3" t="s">
        <v>271</v>
      </c>
      <c r="B698" s="5">
        <v>45217</v>
      </c>
      <c r="C698" s="3">
        <v>0.58333333333333337</v>
      </c>
      <c r="D698" s="5">
        <v>45217</v>
      </c>
      <c r="E698" s="3">
        <v>0.625</v>
      </c>
      <c r="F698" t="b">
        <v>0</v>
      </c>
      <c r="G698" s="3" t="s">
        <v>272</v>
      </c>
      <c r="H698" s="3" t="s">
        <v>236</v>
      </c>
      <c r="I698" t="b">
        <v>0</v>
      </c>
    </row>
    <row r="699" spans="1:9" ht="15" hidden="1" customHeight="1" x14ac:dyDescent="0.2">
      <c r="A699" s="3" t="s">
        <v>271</v>
      </c>
      <c r="B699" s="5">
        <v>45218</v>
      </c>
      <c r="C699" s="3">
        <v>0.70833333333333337</v>
      </c>
      <c r="D699" s="5">
        <v>45218</v>
      </c>
      <c r="E699" s="3">
        <v>0.75</v>
      </c>
      <c r="F699" t="b">
        <v>0</v>
      </c>
      <c r="G699" s="3" t="s">
        <v>272</v>
      </c>
      <c r="H699" s="3" t="s">
        <v>236</v>
      </c>
      <c r="I699" t="b">
        <v>0</v>
      </c>
    </row>
    <row r="700" spans="1:9" ht="15" hidden="1" customHeight="1" x14ac:dyDescent="0.2">
      <c r="A700" s="3" t="s">
        <v>271</v>
      </c>
      <c r="B700" s="5">
        <v>45223</v>
      </c>
      <c r="C700" s="3">
        <v>0.625</v>
      </c>
      <c r="D700" s="5">
        <v>45223</v>
      </c>
      <c r="E700" s="3">
        <v>0.66666666666666663</v>
      </c>
      <c r="F700" t="b">
        <v>0</v>
      </c>
      <c r="G700" s="3" t="s">
        <v>272</v>
      </c>
      <c r="H700" s="3" t="s">
        <v>236</v>
      </c>
      <c r="I700" t="b">
        <v>0</v>
      </c>
    </row>
    <row r="701" spans="1:9" ht="15" hidden="1" customHeight="1" x14ac:dyDescent="0.2">
      <c r="A701" s="3" t="s">
        <v>271</v>
      </c>
      <c r="B701" s="5">
        <v>45224</v>
      </c>
      <c r="C701" s="3">
        <v>0.58333333333333337</v>
      </c>
      <c r="D701" s="5">
        <v>45224</v>
      </c>
      <c r="E701" s="3">
        <v>0.625</v>
      </c>
      <c r="F701" t="b">
        <v>0</v>
      </c>
      <c r="G701" s="3" t="s">
        <v>272</v>
      </c>
      <c r="H701" s="3" t="s">
        <v>236</v>
      </c>
      <c r="I701" t="b">
        <v>0</v>
      </c>
    </row>
    <row r="702" spans="1:9" ht="15" hidden="1" customHeight="1" x14ac:dyDescent="0.2">
      <c r="A702" s="3" t="s">
        <v>271</v>
      </c>
      <c r="B702" s="5">
        <v>45225</v>
      </c>
      <c r="C702" s="3">
        <v>0.70833333333333337</v>
      </c>
      <c r="D702" s="5">
        <v>45225</v>
      </c>
      <c r="E702" s="3">
        <v>0.75</v>
      </c>
      <c r="F702" t="b">
        <v>0</v>
      </c>
      <c r="G702" s="3" t="s">
        <v>272</v>
      </c>
      <c r="H702" s="3" t="s">
        <v>236</v>
      </c>
      <c r="I702" t="b">
        <v>0</v>
      </c>
    </row>
    <row r="703" spans="1:9" ht="15" hidden="1" customHeight="1" x14ac:dyDescent="0.2">
      <c r="A703" s="3" t="s">
        <v>271</v>
      </c>
      <c r="B703" s="5">
        <v>45230</v>
      </c>
      <c r="C703" s="3">
        <v>0.625</v>
      </c>
      <c r="D703" s="5">
        <v>45230</v>
      </c>
      <c r="E703" s="3">
        <v>0.66666666666666663</v>
      </c>
      <c r="F703" t="b">
        <v>0</v>
      </c>
      <c r="G703" s="3" t="s">
        <v>272</v>
      </c>
      <c r="H703" s="3" t="s">
        <v>236</v>
      </c>
      <c r="I703" t="b">
        <v>0</v>
      </c>
    </row>
    <row r="704" spans="1:9" ht="15" hidden="1" customHeight="1" x14ac:dyDescent="0.2">
      <c r="A704" s="3" t="s">
        <v>271</v>
      </c>
      <c r="B704" s="5">
        <v>45231</v>
      </c>
      <c r="C704" s="3">
        <v>0.58333333333333337</v>
      </c>
      <c r="D704" s="5">
        <v>45231</v>
      </c>
      <c r="E704" s="3">
        <v>0.625</v>
      </c>
      <c r="F704" t="b">
        <v>0</v>
      </c>
      <c r="G704" s="3" t="s">
        <v>272</v>
      </c>
      <c r="H704" s="3" t="s">
        <v>236</v>
      </c>
      <c r="I704" t="b">
        <v>0</v>
      </c>
    </row>
    <row r="705" spans="1:9" ht="15" hidden="1" customHeight="1" x14ac:dyDescent="0.2">
      <c r="A705" s="3" t="s">
        <v>271</v>
      </c>
      <c r="B705" s="5">
        <v>45232</v>
      </c>
      <c r="C705" s="3">
        <v>0.70833333333333337</v>
      </c>
      <c r="D705" s="5">
        <v>45232</v>
      </c>
      <c r="E705" s="3">
        <v>0.75</v>
      </c>
      <c r="F705" t="b">
        <v>0</v>
      </c>
      <c r="G705" s="3" t="s">
        <v>272</v>
      </c>
      <c r="H705" s="3" t="s">
        <v>236</v>
      </c>
      <c r="I705" t="b">
        <v>0</v>
      </c>
    </row>
    <row r="706" spans="1:9" ht="15" hidden="1" customHeight="1" x14ac:dyDescent="0.2">
      <c r="A706" s="3" t="s">
        <v>271</v>
      </c>
      <c r="B706" s="5">
        <v>45237</v>
      </c>
      <c r="C706" s="3">
        <v>0.625</v>
      </c>
      <c r="D706" s="5">
        <v>45237</v>
      </c>
      <c r="E706" s="3">
        <v>0.66666666666666663</v>
      </c>
      <c r="F706" t="b">
        <v>0</v>
      </c>
      <c r="G706" s="3" t="s">
        <v>272</v>
      </c>
      <c r="H706" s="3" t="s">
        <v>236</v>
      </c>
      <c r="I706" t="b">
        <v>0</v>
      </c>
    </row>
    <row r="707" spans="1:9" ht="15" hidden="1" customHeight="1" x14ac:dyDescent="0.2">
      <c r="A707" s="3" t="s">
        <v>271</v>
      </c>
      <c r="B707" s="5">
        <v>45238</v>
      </c>
      <c r="C707" s="3">
        <v>0.58333333333333337</v>
      </c>
      <c r="D707" s="5">
        <v>45238</v>
      </c>
      <c r="E707" s="3">
        <v>0.625</v>
      </c>
      <c r="F707" t="b">
        <v>0</v>
      </c>
      <c r="G707" s="3" t="s">
        <v>272</v>
      </c>
      <c r="H707" s="3" t="s">
        <v>236</v>
      </c>
      <c r="I707" t="b">
        <v>0</v>
      </c>
    </row>
    <row r="708" spans="1:9" ht="15" hidden="1" customHeight="1" x14ac:dyDescent="0.2">
      <c r="A708" s="3" t="s">
        <v>271</v>
      </c>
      <c r="B708" s="5">
        <v>45239</v>
      </c>
      <c r="C708" s="3">
        <v>0.70833333333333337</v>
      </c>
      <c r="D708" s="5">
        <v>45239</v>
      </c>
      <c r="E708" s="3">
        <v>0.75</v>
      </c>
      <c r="F708" t="b">
        <v>0</v>
      </c>
      <c r="G708" s="3" t="s">
        <v>272</v>
      </c>
      <c r="H708" s="3" t="s">
        <v>236</v>
      </c>
      <c r="I708" t="b">
        <v>0</v>
      </c>
    </row>
    <row r="709" spans="1:9" ht="15" hidden="1" customHeight="1" x14ac:dyDescent="0.2">
      <c r="A709" s="6" t="s">
        <v>279</v>
      </c>
      <c r="B709" s="5">
        <v>45195</v>
      </c>
      <c r="C709" s="3">
        <v>0.66666666666666663</v>
      </c>
      <c r="D709" s="5">
        <v>45195</v>
      </c>
      <c r="E709" s="3">
        <v>0.70833333333333326</v>
      </c>
      <c r="F709" t="b">
        <v>0</v>
      </c>
      <c r="G709" s="7" t="s">
        <v>280</v>
      </c>
      <c r="H709" t="s">
        <v>236</v>
      </c>
      <c r="I709" t="b">
        <v>0</v>
      </c>
    </row>
    <row r="710" spans="1:9" ht="15" hidden="1" customHeight="1" x14ac:dyDescent="0.2">
      <c r="A710" s="6" t="s">
        <v>279</v>
      </c>
      <c r="B710" s="5">
        <v>45196</v>
      </c>
      <c r="C710" s="3">
        <v>0.70833333333333337</v>
      </c>
      <c r="D710" s="5">
        <v>45196</v>
      </c>
      <c r="E710" s="3">
        <v>0.75</v>
      </c>
      <c r="F710" t="b">
        <v>0</v>
      </c>
      <c r="G710" s="7" t="s">
        <v>280</v>
      </c>
      <c r="H710" t="s">
        <v>236</v>
      </c>
      <c r="I710" t="b">
        <v>0</v>
      </c>
    </row>
    <row r="711" spans="1:9" ht="15" hidden="1" customHeight="1" x14ac:dyDescent="0.2">
      <c r="A711" s="6" t="s">
        <v>279</v>
      </c>
      <c r="B711" s="5">
        <v>45197</v>
      </c>
      <c r="C711" s="3">
        <v>0.58333333333333337</v>
      </c>
      <c r="D711" s="5">
        <v>45197</v>
      </c>
      <c r="E711" s="3">
        <v>0.625</v>
      </c>
      <c r="F711" t="b">
        <v>0</v>
      </c>
      <c r="G711" s="7" t="s">
        <v>280</v>
      </c>
      <c r="H711" t="s">
        <v>236</v>
      </c>
      <c r="I711" t="b">
        <v>0</v>
      </c>
    </row>
    <row r="712" spans="1:9" ht="15" hidden="1" customHeight="1" x14ac:dyDescent="0.2">
      <c r="A712" s="3" t="s">
        <v>279</v>
      </c>
      <c r="B712" s="5">
        <v>45202</v>
      </c>
      <c r="C712" s="3">
        <v>0.66666666666666663</v>
      </c>
      <c r="D712" s="5">
        <v>45202</v>
      </c>
      <c r="E712" s="3">
        <v>0.70833333333333326</v>
      </c>
      <c r="F712" t="b">
        <v>0</v>
      </c>
      <c r="G712" s="3" t="s">
        <v>280</v>
      </c>
      <c r="H712" s="3" t="s">
        <v>236</v>
      </c>
      <c r="I712" t="b">
        <v>0</v>
      </c>
    </row>
    <row r="713" spans="1:9" ht="15" hidden="1" customHeight="1" x14ac:dyDescent="0.2">
      <c r="A713" s="3" t="s">
        <v>279</v>
      </c>
      <c r="B713" s="5">
        <v>45203</v>
      </c>
      <c r="C713" s="3">
        <v>0.70833333333333337</v>
      </c>
      <c r="D713" s="5">
        <v>45203</v>
      </c>
      <c r="E713" s="3">
        <v>0.75</v>
      </c>
      <c r="F713" t="b">
        <v>0</v>
      </c>
      <c r="G713" s="3" t="s">
        <v>280</v>
      </c>
      <c r="H713" s="3" t="s">
        <v>236</v>
      </c>
      <c r="I713" t="b">
        <v>0</v>
      </c>
    </row>
    <row r="714" spans="1:9" ht="15" hidden="1" customHeight="1" x14ac:dyDescent="0.2">
      <c r="A714" s="3" t="s">
        <v>279</v>
      </c>
      <c r="B714" s="5">
        <v>45204</v>
      </c>
      <c r="C714" s="3">
        <v>0.58333333333333337</v>
      </c>
      <c r="D714" s="5">
        <v>45204</v>
      </c>
      <c r="E714" s="3">
        <v>0.625</v>
      </c>
      <c r="F714" t="b">
        <v>0</v>
      </c>
      <c r="G714" s="3" t="s">
        <v>280</v>
      </c>
      <c r="H714" s="3" t="s">
        <v>236</v>
      </c>
      <c r="I714" t="b">
        <v>0</v>
      </c>
    </row>
    <row r="715" spans="1:9" ht="15" hidden="1" customHeight="1" x14ac:dyDescent="0.2">
      <c r="A715" s="3" t="s">
        <v>279</v>
      </c>
      <c r="B715" s="5">
        <v>45209</v>
      </c>
      <c r="C715" s="3">
        <v>0.66666666666666663</v>
      </c>
      <c r="D715" s="5">
        <v>45209</v>
      </c>
      <c r="E715" s="3">
        <v>0.70833333333333326</v>
      </c>
      <c r="F715" t="b">
        <v>0</v>
      </c>
      <c r="G715" s="3" t="s">
        <v>280</v>
      </c>
      <c r="H715" s="3" t="s">
        <v>236</v>
      </c>
      <c r="I715" t="b">
        <v>0</v>
      </c>
    </row>
    <row r="716" spans="1:9" ht="15" hidden="1" customHeight="1" x14ac:dyDescent="0.2">
      <c r="A716" s="3" t="s">
        <v>279</v>
      </c>
      <c r="B716" s="5">
        <v>45210</v>
      </c>
      <c r="C716" s="3">
        <v>0.70833333333333337</v>
      </c>
      <c r="D716" s="5">
        <v>45210</v>
      </c>
      <c r="E716" s="3">
        <v>0.75</v>
      </c>
      <c r="F716" t="b">
        <v>0</v>
      </c>
      <c r="G716" s="3" t="s">
        <v>280</v>
      </c>
      <c r="H716" s="3" t="s">
        <v>236</v>
      </c>
      <c r="I716" t="b">
        <v>0</v>
      </c>
    </row>
    <row r="717" spans="1:9" ht="15" hidden="1" customHeight="1" x14ac:dyDescent="0.2">
      <c r="A717" s="3" t="s">
        <v>279</v>
      </c>
      <c r="B717" s="5">
        <v>45211</v>
      </c>
      <c r="C717" s="3">
        <v>0.58333333333333337</v>
      </c>
      <c r="D717" s="5">
        <v>45211</v>
      </c>
      <c r="E717" s="3">
        <v>0.625</v>
      </c>
      <c r="F717" t="b">
        <v>0</v>
      </c>
      <c r="G717" s="3" t="s">
        <v>280</v>
      </c>
      <c r="H717" s="3" t="s">
        <v>236</v>
      </c>
      <c r="I717" t="b">
        <v>0</v>
      </c>
    </row>
    <row r="718" spans="1:9" ht="15" hidden="1" customHeight="1" x14ac:dyDescent="0.2">
      <c r="A718" s="3" t="s">
        <v>279</v>
      </c>
      <c r="B718" s="5">
        <v>45216</v>
      </c>
      <c r="C718" s="3">
        <v>0.66666666666666663</v>
      </c>
      <c r="D718" s="5">
        <v>45216</v>
      </c>
      <c r="E718" s="3">
        <v>0.70833333333333326</v>
      </c>
      <c r="F718" t="b">
        <v>0</v>
      </c>
      <c r="G718" s="3" t="s">
        <v>280</v>
      </c>
      <c r="H718" s="3" t="s">
        <v>236</v>
      </c>
      <c r="I718" t="b">
        <v>0</v>
      </c>
    </row>
    <row r="719" spans="1:9" ht="15" hidden="1" customHeight="1" x14ac:dyDescent="0.2">
      <c r="A719" s="3" t="s">
        <v>279</v>
      </c>
      <c r="B719" s="5">
        <v>45217</v>
      </c>
      <c r="C719" s="3">
        <v>0.70833333333333337</v>
      </c>
      <c r="D719" s="5">
        <v>45217</v>
      </c>
      <c r="E719" s="3">
        <v>0.75</v>
      </c>
      <c r="F719" t="b">
        <v>0</v>
      </c>
      <c r="G719" s="3" t="s">
        <v>280</v>
      </c>
      <c r="H719" s="3" t="s">
        <v>236</v>
      </c>
      <c r="I719" t="b">
        <v>0</v>
      </c>
    </row>
    <row r="720" spans="1:9" ht="15" hidden="1" customHeight="1" x14ac:dyDescent="0.2">
      <c r="A720" s="3" t="s">
        <v>279</v>
      </c>
      <c r="B720" s="5">
        <v>45218</v>
      </c>
      <c r="C720" s="3">
        <v>0.58333333333333337</v>
      </c>
      <c r="D720" s="5">
        <v>45218</v>
      </c>
      <c r="E720" s="3">
        <v>0.625</v>
      </c>
      <c r="F720" t="b">
        <v>0</v>
      </c>
      <c r="G720" s="3" t="s">
        <v>280</v>
      </c>
      <c r="H720" s="3" t="s">
        <v>236</v>
      </c>
      <c r="I720" t="b">
        <v>0</v>
      </c>
    </row>
    <row r="721" spans="1:9" ht="15" hidden="1" customHeight="1" x14ac:dyDescent="0.2">
      <c r="A721" s="3" t="s">
        <v>279</v>
      </c>
      <c r="B721" s="5">
        <v>45223</v>
      </c>
      <c r="C721" s="3">
        <v>0.66666666666666663</v>
      </c>
      <c r="D721" s="5">
        <v>45223</v>
      </c>
      <c r="E721" s="3">
        <v>0.70833333333333326</v>
      </c>
      <c r="F721" t="b">
        <v>0</v>
      </c>
      <c r="G721" s="3" t="s">
        <v>280</v>
      </c>
      <c r="H721" s="3" t="s">
        <v>236</v>
      </c>
      <c r="I721" t="b">
        <v>0</v>
      </c>
    </row>
    <row r="722" spans="1:9" ht="15" hidden="1" customHeight="1" x14ac:dyDescent="0.2">
      <c r="A722" s="3" t="s">
        <v>279</v>
      </c>
      <c r="B722" s="5">
        <v>45224</v>
      </c>
      <c r="C722" s="3">
        <v>0.70833333333333337</v>
      </c>
      <c r="D722" s="5">
        <v>45224</v>
      </c>
      <c r="E722" s="3">
        <v>0.75</v>
      </c>
      <c r="F722" t="b">
        <v>0</v>
      </c>
      <c r="G722" s="3" t="s">
        <v>280</v>
      </c>
      <c r="H722" s="3" t="s">
        <v>236</v>
      </c>
      <c r="I722" t="b">
        <v>0</v>
      </c>
    </row>
    <row r="723" spans="1:9" ht="15" hidden="1" customHeight="1" x14ac:dyDescent="0.2">
      <c r="A723" s="3" t="s">
        <v>279</v>
      </c>
      <c r="B723" s="5">
        <v>45225</v>
      </c>
      <c r="C723" s="3">
        <v>0.58333333333333337</v>
      </c>
      <c r="D723" s="5">
        <v>45225</v>
      </c>
      <c r="E723" s="3">
        <v>0.625</v>
      </c>
      <c r="F723" t="b">
        <v>0</v>
      </c>
      <c r="G723" s="3" t="s">
        <v>280</v>
      </c>
      <c r="H723" s="3" t="s">
        <v>236</v>
      </c>
      <c r="I723" t="b">
        <v>0</v>
      </c>
    </row>
    <row r="724" spans="1:9" ht="15" hidden="1" customHeight="1" x14ac:dyDescent="0.2">
      <c r="A724" s="3" t="s">
        <v>279</v>
      </c>
      <c r="B724" s="5">
        <v>45230</v>
      </c>
      <c r="C724" s="3">
        <v>0.66666666666666663</v>
      </c>
      <c r="D724" s="5">
        <v>45230</v>
      </c>
      <c r="E724" s="3">
        <v>0.70833333333333326</v>
      </c>
      <c r="F724" t="b">
        <v>0</v>
      </c>
      <c r="G724" s="3" t="s">
        <v>280</v>
      </c>
      <c r="H724" s="3" t="s">
        <v>236</v>
      </c>
      <c r="I724" t="b">
        <v>0</v>
      </c>
    </row>
    <row r="725" spans="1:9" ht="15" hidden="1" customHeight="1" x14ac:dyDescent="0.2">
      <c r="A725" s="3" t="s">
        <v>279</v>
      </c>
      <c r="B725" s="5">
        <v>45231</v>
      </c>
      <c r="C725" s="3">
        <v>0.70833333333333337</v>
      </c>
      <c r="D725" s="5">
        <v>45231</v>
      </c>
      <c r="E725" s="3">
        <v>0.75</v>
      </c>
      <c r="F725" t="b">
        <v>0</v>
      </c>
      <c r="G725" s="3" t="s">
        <v>280</v>
      </c>
      <c r="H725" s="3" t="s">
        <v>236</v>
      </c>
      <c r="I725" t="b">
        <v>0</v>
      </c>
    </row>
    <row r="726" spans="1:9" ht="15" hidden="1" customHeight="1" x14ac:dyDescent="0.2">
      <c r="A726" s="3" t="s">
        <v>279</v>
      </c>
      <c r="B726" s="5">
        <v>45232</v>
      </c>
      <c r="C726" s="3">
        <v>0.58333333333333337</v>
      </c>
      <c r="D726" s="5">
        <v>45232</v>
      </c>
      <c r="E726" s="3">
        <v>0.625</v>
      </c>
      <c r="F726" t="b">
        <v>0</v>
      </c>
      <c r="G726" s="3" t="s">
        <v>280</v>
      </c>
      <c r="H726" s="3" t="s">
        <v>236</v>
      </c>
      <c r="I726" t="b">
        <v>0</v>
      </c>
    </row>
    <row r="727" spans="1:9" ht="15" hidden="1" customHeight="1" x14ac:dyDescent="0.2">
      <c r="A727" s="3" t="s">
        <v>279</v>
      </c>
      <c r="B727" s="5">
        <v>45237</v>
      </c>
      <c r="C727" s="3">
        <v>0.66666666666666663</v>
      </c>
      <c r="D727" s="5">
        <v>45237</v>
      </c>
      <c r="E727" s="3">
        <v>0.70833333333333326</v>
      </c>
      <c r="F727" t="b">
        <v>0</v>
      </c>
      <c r="G727" s="3" t="s">
        <v>280</v>
      </c>
      <c r="H727" s="3" t="s">
        <v>236</v>
      </c>
      <c r="I727" t="b">
        <v>0</v>
      </c>
    </row>
    <row r="728" spans="1:9" ht="15" hidden="1" customHeight="1" x14ac:dyDescent="0.2">
      <c r="A728" s="3" t="s">
        <v>279</v>
      </c>
      <c r="B728" s="5">
        <v>45238</v>
      </c>
      <c r="C728" s="3">
        <v>0.70833333333333337</v>
      </c>
      <c r="D728" s="5">
        <v>45238</v>
      </c>
      <c r="E728" s="3">
        <v>0.75</v>
      </c>
      <c r="F728" t="b">
        <v>0</v>
      </c>
      <c r="G728" s="3" t="s">
        <v>280</v>
      </c>
      <c r="H728" s="3" t="s">
        <v>236</v>
      </c>
      <c r="I728" t="b">
        <v>0</v>
      </c>
    </row>
    <row r="729" spans="1:9" ht="15" hidden="1" customHeight="1" x14ac:dyDescent="0.2">
      <c r="A729" s="3" t="s">
        <v>279</v>
      </c>
      <c r="B729" s="5">
        <v>45239</v>
      </c>
      <c r="C729" s="3">
        <v>0.58333333333333337</v>
      </c>
      <c r="D729" s="5">
        <v>45239</v>
      </c>
      <c r="E729" s="3">
        <v>0.625</v>
      </c>
      <c r="F729" t="b">
        <v>0</v>
      </c>
      <c r="G729" s="3" t="s">
        <v>280</v>
      </c>
      <c r="H729" s="3" t="s">
        <v>236</v>
      </c>
      <c r="I729" t="b">
        <v>0</v>
      </c>
    </row>
    <row r="730" spans="1:9" ht="15" hidden="1" customHeight="1" x14ac:dyDescent="0.2">
      <c r="A730" s="6" t="s">
        <v>298</v>
      </c>
      <c r="B730" s="5">
        <v>45198</v>
      </c>
      <c r="C730" s="3">
        <v>0.35416666666666669</v>
      </c>
      <c r="D730" s="5">
        <v>45198</v>
      </c>
      <c r="E730" s="3">
        <v>0.4375</v>
      </c>
      <c r="F730" t="b">
        <v>0</v>
      </c>
      <c r="G730" s="6" t="s">
        <v>299</v>
      </c>
      <c r="I730" t="b">
        <v>0</v>
      </c>
    </row>
    <row r="731" spans="1:9" ht="15" hidden="1" customHeight="1" x14ac:dyDescent="0.2">
      <c r="A731" s="3" t="s">
        <v>298</v>
      </c>
      <c r="B731" s="5">
        <v>45205</v>
      </c>
      <c r="C731" s="3">
        <v>0.35416666666666669</v>
      </c>
      <c r="D731" s="5">
        <v>45205</v>
      </c>
      <c r="E731" s="3">
        <v>0.4375</v>
      </c>
      <c r="F731" t="b">
        <v>0</v>
      </c>
      <c r="G731" s="3" t="s">
        <v>299</v>
      </c>
      <c r="H731" s="3"/>
      <c r="I731" t="b">
        <v>0</v>
      </c>
    </row>
    <row r="732" spans="1:9" ht="15" hidden="1" customHeight="1" x14ac:dyDescent="0.2">
      <c r="A732" s="3" t="s">
        <v>298</v>
      </c>
      <c r="B732" s="5">
        <v>45212</v>
      </c>
      <c r="C732" s="3">
        <v>0.35416666666666669</v>
      </c>
      <c r="D732" s="5">
        <v>45212</v>
      </c>
      <c r="E732" s="3">
        <v>0.4375</v>
      </c>
      <c r="F732" t="b">
        <v>0</v>
      </c>
      <c r="G732" s="3" t="s">
        <v>299</v>
      </c>
      <c r="H732" s="3"/>
      <c r="I732" t="b">
        <v>0</v>
      </c>
    </row>
    <row r="733" spans="1:9" ht="15" hidden="1" customHeight="1" x14ac:dyDescent="0.2">
      <c r="A733" s="3" t="s">
        <v>298</v>
      </c>
      <c r="B733" s="5">
        <v>45219</v>
      </c>
      <c r="C733" s="3">
        <v>0.35416666666666669</v>
      </c>
      <c r="D733" s="5">
        <v>45219</v>
      </c>
      <c r="E733" s="3">
        <v>0.4375</v>
      </c>
      <c r="F733" t="b">
        <v>0</v>
      </c>
      <c r="G733" s="3" t="s">
        <v>299</v>
      </c>
      <c r="H733" s="3"/>
      <c r="I733" t="b">
        <v>0</v>
      </c>
    </row>
    <row r="734" spans="1:9" ht="15" hidden="1" customHeight="1" x14ac:dyDescent="0.2">
      <c r="A734" s="3" t="s">
        <v>298</v>
      </c>
      <c r="B734" s="5">
        <v>45226</v>
      </c>
      <c r="C734" s="3">
        <v>0.35416666666666669</v>
      </c>
      <c r="D734" s="5">
        <v>45226</v>
      </c>
      <c r="E734" s="3">
        <v>0.4375</v>
      </c>
      <c r="F734" t="b">
        <v>0</v>
      </c>
      <c r="G734" s="3" t="s">
        <v>299</v>
      </c>
      <c r="H734" s="3"/>
      <c r="I734" t="b">
        <v>0</v>
      </c>
    </row>
    <row r="735" spans="1:9" ht="15" hidden="1" customHeight="1" x14ac:dyDescent="0.2">
      <c r="A735" s="3" t="s">
        <v>298</v>
      </c>
      <c r="B735" s="5">
        <v>45233</v>
      </c>
      <c r="C735" s="3">
        <v>0.35416666666666669</v>
      </c>
      <c r="D735" s="5">
        <v>45233</v>
      </c>
      <c r="E735" s="3">
        <v>0.4375</v>
      </c>
      <c r="F735" t="b">
        <v>0</v>
      </c>
      <c r="G735" s="3" t="s">
        <v>299</v>
      </c>
      <c r="H735" s="3"/>
      <c r="I735" t="b">
        <v>0</v>
      </c>
    </row>
    <row r="736" spans="1:9" ht="15" hidden="1" customHeight="1" x14ac:dyDescent="0.2">
      <c r="A736" s="3" t="s">
        <v>298</v>
      </c>
      <c r="B736" s="5">
        <v>45240</v>
      </c>
      <c r="C736" s="3">
        <v>0.35416666666666669</v>
      </c>
      <c r="D736" s="5">
        <v>45240</v>
      </c>
      <c r="E736" s="3">
        <v>0.4375</v>
      </c>
      <c r="F736" t="b">
        <v>0</v>
      </c>
      <c r="G736" s="3" t="s">
        <v>299</v>
      </c>
      <c r="H736" s="3"/>
      <c r="I736" t="b">
        <v>0</v>
      </c>
    </row>
    <row r="737" spans="1:9" ht="15" hidden="1" customHeight="1" x14ac:dyDescent="0.2">
      <c r="A737" s="6" t="s">
        <v>250</v>
      </c>
      <c r="B737" s="5">
        <v>45195</v>
      </c>
      <c r="C737" s="3">
        <v>0.58333333333333337</v>
      </c>
      <c r="D737" s="5">
        <v>45195</v>
      </c>
      <c r="E737" s="3">
        <v>0.625</v>
      </c>
      <c r="F737" t="b">
        <v>0</v>
      </c>
      <c r="G737" s="7" t="s">
        <v>251</v>
      </c>
      <c r="H737" t="s">
        <v>243</v>
      </c>
      <c r="I737" t="b">
        <v>0</v>
      </c>
    </row>
    <row r="738" spans="1:9" ht="15" hidden="1" customHeight="1" x14ac:dyDescent="0.2">
      <c r="A738" s="6" t="s">
        <v>250</v>
      </c>
      <c r="B738" s="5">
        <v>45197</v>
      </c>
      <c r="C738" s="3">
        <v>0.625</v>
      </c>
      <c r="D738" s="5">
        <v>45197</v>
      </c>
      <c r="E738" s="3">
        <v>0.66666666666666663</v>
      </c>
      <c r="F738" t="b">
        <v>0</v>
      </c>
      <c r="G738" s="7" t="s">
        <v>251</v>
      </c>
      <c r="H738" t="s">
        <v>243</v>
      </c>
      <c r="I738" t="b">
        <v>0</v>
      </c>
    </row>
    <row r="739" spans="1:9" ht="15" hidden="1" customHeight="1" x14ac:dyDescent="0.2">
      <c r="A739" s="6" t="s">
        <v>250</v>
      </c>
      <c r="B739" s="5">
        <v>45198</v>
      </c>
      <c r="C739" s="3">
        <v>0.66666666666666663</v>
      </c>
      <c r="D739" s="5">
        <v>45198</v>
      </c>
      <c r="E739" s="3">
        <v>0.70833333333333326</v>
      </c>
      <c r="F739" t="b">
        <v>0</v>
      </c>
      <c r="G739" s="7" t="s">
        <v>251</v>
      </c>
      <c r="H739" t="s">
        <v>243</v>
      </c>
      <c r="I739" t="b">
        <v>0</v>
      </c>
    </row>
    <row r="740" spans="1:9" ht="15" hidden="1" customHeight="1" x14ac:dyDescent="0.2">
      <c r="A740" s="3" t="s">
        <v>250</v>
      </c>
      <c r="B740" s="5">
        <v>45202</v>
      </c>
      <c r="C740" s="3">
        <v>0.58333333333333337</v>
      </c>
      <c r="D740" s="5">
        <v>45202</v>
      </c>
      <c r="E740" s="3">
        <v>0.625</v>
      </c>
      <c r="F740" t="b">
        <v>0</v>
      </c>
      <c r="G740" s="3" t="s">
        <v>251</v>
      </c>
      <c r="H740" s="3" t="s">
        <v>243</v>
      </c>
      <c r="I740" t="b">
        <v>0</v>
      </c>
    </row>
    <row r="741" spans="1:9" ht="15" hidden="1" customHeight="1" x14ac:dyDescent="0.2">
      <c r="A741" s="3" t="s">
        <v>250</v>
      </c>
      <c r="B741" s="5">
        <v>45204</v>
      </c>
      <c r="C741" s="3">
        <v>0.625</v>
      </c>
      <c r="D741" s="5">
        <v>45204</v>
      </c>
      <c r="E741" s="3">
        <v>0.66666666666666663</v>
      </c>
      <c r="F741" t="b">
        <v>0</v>
      </c>
      <c r="G741" s="3" t="s">
        <v>251</v>
      </c>
      <c r="H741" s="3" t="s">
        <v>243</v>
      </c>
      <c r="I741" t="b">
        <v>0</v>
      </c>
    </row>
    <row r="742" spans="1:9" ht="15" hidden="1" customHeight="1" x14ac:dyDescent="0.2">
      <c r="A742" s="3" t="s">
        <v>250</v>
      </c>
      <c r="B742" s="5">
        <v>45205</v>
      </c>
      <c r="C742" s="3">
        <v>0.66666666666666663</v>
      </c>
      <c r="D742" s="5">
        <v>45205</v>
      </c>
      <c r="E742" s="3">
        <v>0.70833333333333326</v>
      </c>
      <c r="F742" t="b">
        <v>0</v>
      </c>
      <c r="G742" s="3" t="s">
        <v>251</v>
      </c>
      <c r="H742" s="3" t="s">
        <v>243</v>
      </c>
      <c r="I742" t="b">
        <v>0</v>
      </c>
    </row>
    <row r="743" spans="1:9" ht="15" hidden="1" customHeight="1" x14ac:dyDescent="0.2">
      <c r="A743" s="3" t="s">
        <v>250</v>
      </c>
      <c r="B743" s="5">
        <v>45209</v>
      </c>
      <c r="C743" s="3">
        <v>0.58333333333333337</v>
      </c>
      <c r="D743" s="5">
        <v>45209</v>
      </c>
      <c r="E743" s="3">
        <v>0.625</v>
      </c>
      <c r="F743" t="b">
        <v>0</v>
      </c>
      <c r="G743" s="3" t="s">
        <v>251</v>
      </c>
      <c r="H743" s="3" t="s">
        <v>243</v>
      </c>
      <c r="I743" t="b">
        <v>0</v>
      </c>
    </row>
    <row r="744" spans="1:9" ht="15" hidden="1" customHeight="1" x14ac:dyDescent="0.2">
      <c r="A744" s="3" t="s">
        <v>250</v>
      </c>
      <c r="B744" s="5">
        <v>45211</v>
      </c>
      <c r="C744" s="3">
        <v>0.625</v>
      </c>
      <c r="D744" s="5">
        <v>45211</v>
      </c>
      <c r="E744" s="3">
        <v>0.66666666666666663</v>
      </c>
      <c r="F744" t="b">
        <v>0</v>
      </c>
      <c r="G744" s="3" t="s">
        <v>251</v>
      </c>
      <c r="H744" s="3" t="s">
        <v>243</v>
      </c>
      <c r="I744" t="b">
        <v>0</v>
      </c>
    </row>
    <row r="745" spans="1:9" ht="15" hidden="1" customHeight="1" x14ac:dyDescent="0.2">
      <c r="A745" s="3" t="s">
        <v>250</v>
      </c>
      <c r="B745" s="5">
        <v>45212</v>
      </c>
      <c r="C745" s="3">
        <v>0.66666666666666663</v>
      </c>
      <c r="D745" s="5">
        <v>45212</v>
      </c>
      <c r="E745" s="3">
        <v>0.70833333333333326</v>
      </c>
      <c r="F745" t="b">
        <v>0</v>
      </c>
      <c r="G745" s="3" t="s">
        <v>251</v>
      </c>
      <c r="H745" s="3" t="s">
        <v>243</v>
      </c>
      <c r="I745" t="b">
        <v>0</v>
      </c>
    </row>
    <row r="746" spans="1:9" ht="15" hidden="1" customHeight="1" x14ac:dyDescent="0.2">
      <c r="A746" s="3" t="s">
        <v>250</v>
      </c>
      <c r="B746" s="5">
        <v>45216</v>
      </c>
      <c r="C746" s="3">
        <v>0.58333333333333337</v>
      </c>
      <c r="D746" s="5">
        <v>45216</v>
      </c>
      <c r="E746" s="3">
        <v>0.625</v>
      </c>
      <c r="F746" t="b">
        <v>0</v>
      </c>
      <c r="G746" s="3" t="s">
        <v>251</v>
      </c>
      <c r="H746" s="3" t="s">
        <v>243</v>
      </c>
      <c r="I746" t="b">
        <v>0</v>
      </c>
    </row>
    <row r="747" spans="1:9" ht="15" hidden="1" customHeight="1" x14ac:dyDescent="0.2">
      <c r="A747" s="3" t="s">
        <v>250</v>
      </c>
      <c r="B747" s="5">
        <v>45218</v>
      </c>
      <c r="C747" s="3">
        <v>0.625</v>
      </c>
      <c r="D747" s="5">
        <v>45218</v>
      </c>
      <c r="E747" s="3">
        <v>0.66666666666666663</v>
      </c>
      <c r="F747" t="b">
        <v>0</v>
      </c>
      <c r="G747" s="3" t="s">
        <v>251</v>
      </c>
      <c r="H747" s="3" t="s">
        <v>243</v>
      </c>
      <c r="I747" t="b">
        <v>0</v>
      </c>
    </row>
    <row r="748" spans="1:9" ht="15" hidden="1" customHeight="1" x14ac:dyDescent="0.2">
      <c r="A748" s="3" t="s">
        <v>250</v>
      </c>
      <c r="B748" s="5">
        <v>45219</v>
      </c>
      <c r="C748" s="3">
        <v>0.66666666666666663</v>
      </c>
      <c r="D748" s="5">
        <v>45219</v>
      </c>
      <c r="E748" s="3">
        <v>0.70833333333333326</v>
      </c>
      <c r="F748" t="b">
        <v>0</v>
      </c>
      <c r="G748" s="3" t="s">
        <v>251</v>
      </c>
      <c r="H748" s="3" t="s">
        <v>243</v>
      </c>
      <c r="I748" t="b">
        <v>0</v>
      </c>
    </row>
    <row r="749" spans="1:9" ht="15" hidden="1" customHeight="1" x14ac:dyDescent="0.2">
      <c r="A749" s="3" t="s">
        <v>250</v>
      </c>
      <c r="B749" s="5">
        <v>45223</v>
      </c>
      <c r="C749" s="3">
        <v>0.58333333333333337</v>
      </c>
      <c r="D749" s="5">
        <v>45223</v>
      </c>
      <c r="E749" s="3">
        <v>0.625</v>
      </c>
      <c r="F749" t="b">
        <v>0</v>
      </c>
      <c r="G749" s="3" t="s">
        <v>251</v>
      </c>
      <c r="H749" s="3" t="s">
        <v>243</v>
      </c>
      <c r="I749" t="b">
        <v>0</v>
      </c>
    </row>
    <row r="750" spans="1:9" ht="15" hidden="1" customHeight="1" x14ac:dyDescent="0.2">
      <c r="A750" s="3" t="s">
        <v>250</v>
      </c>
      <c r="B750" s="5">
        <v>45225</v>
      </c>
      <c r="C750" s="3">
        <v>0.625</v>
      </c>
      <c r="D750" s="5">
        <v>45225</v>
      </c>
      <c r="E750" s="3">
        <v>0.66666666666666663</v>
      </c>
      <c r="F750" t="b">
        <v>0</v>
      </c>
      <c r="G750" s="3" t="s">
        <v>251</v>
      </c>
      <c r="H750" s="3" t="s">
        <v>243</v>
      </c>
      <c r="I750" t="b">
        <v>0</v>
      </c>
    </row>
    <row r="751" spans="1:9" ht="15" hidden="1" customHeight="1" x14ac:dyDescent="0.2">
      <c r="A751" s="3" t="s">
        <v>250</v>
      </c>
      <c r="B751" s="5">
        <v>45226</v>
      </c>
      <c r="C751" s="3">
        <v>0.66666666666666663</v>
      </c>
      <c r="D751" s="5">
        <v>45226</v>
      </c>
      <c r="E751" s="3">
        <v>0.70833333333333326</v>
      </c>
      <c r="F751" t="b">
        <v>0</v>
      </c>
      <c r="G751" s="3" t="s">
        <v>251</v>
      </c>
      <c r="H751" s="3" t="s">
        <v>243</v>
      </c>
      <c r="I751" t="b">
        <v>0</v>
      </c>
    </row>
    <row r="752" spans="1:9" ht="15" hidden="1" customHeight="1" x14ac:dyDescent="0.2">
      <c r="A752" s="3" t="s">
        <v>250</v>
      </c>
      <c r="B752" s="5">
        <v>45230</v>
      </c>
      <c r="C752" s="3">
        <v>0.58333333333333337</v>
      </c>
      <c r="D752" s="5">
        <v>45230</v>
      </c>
      <c r="E752" s="3">
        <v>0.625</v>
      </c>
      <c r="F752" t="b">
        <v>0</v>
      </c>
      <c r="G752" s="3" t="s">
        <v>251</v>
      </c>
      <c r="H752" s="3" t="s">
        <v>243</v>
      </c>
      <c r="I752" t="b">
        <v>0</v>
      </c>
    </row>
    <row r="753" spans="1:9" ht="15" hidden="1" customHeight="1" x14ac:dyDescent="0.2">
      <c r="A753" s="3" t="s">
        <v>250</v>
      </c>
      <c r="B753" s="5">
        <v>45232</v>
      </c>
      <c r="C753" s="3">
        <v>0.625</v>
      </c>
      <c r="D753" s="5">
        <v>45232</v>
      </c>
      <c r="E753" s="3">
        <v>0.66666666666666663</v>
      </c>
      <c r="F753" t="b">
        <v>0</v>
      </c>
      <c r="G753" s="3" t="s">
        <v>251</v>
      </c>
      <c r="H753" s="3" t="s">
        <v>243</v>
      </c>
      <c r="I753" t="b">
        <v>0</v>
      </c>
    </row>
    <row r="754" spans="1:9" ht="15" hidden="1" customHeight="1" x14ac:dyDescent="0.2">
      <c r="A754" s="3" t="s">
        <v>250</v>
      </c>
      <c r="B754" s="5">
        <v>45233</v>
      </c>
      <c r="C754" s="3">
        <v>0.66666666666666663</v>
      </c>
      <c r="D754" s="5">
        <v>45233</v>
      </c>
      <c r="E754" s="3">
        <v>0.70833333333333326</v>
      </c>
      <c r="F754" t="b">
        <v>0</v>
      </c>
      <c r="G754" s="3" t="s">
        <v>251</v>
      </c>
      <c r="H754" s="3" t="s">
        <v>243</v>
      </c>
      <c r="I754" t="b">
        <v>0</v>
      </c>
    </row>
    <row r="755" spans="1:9" ht="15" hidden="1" customHeight="1" x14ac:dyDescent="0.2">
      <c r="A755" s="3" t="s">
        <v>250</v>
      </c>
      <c r="B755" s="5">
        <v>45237</v>
      </c>
      <c r="C755" s="3">
        <v>0.58333333333333337</v>
      </c>
      <c r="D755" s="5">
        <v>45237</v>
      </c>
      <c r="E755" s="3">
        <v>0.625</v>
      </c>
      <c r="F755" t="b">
        <v>0</v>
      </c>
      <c r="G755" s="3" t="s">
        <v>251</v>
      </c>
      <c r="H755" s="3" t="s">
        <v>243</v>
      </c>
      <c r="I755" t="b">
        <v>0</v>
      </c>
    </row>
    <row r="756" spans="1:9" ht="15" hidden="1" customHeight="1" x14ac:dyDescent="0.2">
      <c r="A756" s="3" t="s">
        <v>250</v>
      </c>
      <c r="B756" s="5">
        <v>45239</v>
      </c>
      <c r="C756" s="3">
        <v>0.625</v>
      </c>
      <c r="D756" s="5">
        <v>45239</v>
      </c>
      <c r="E756" s="3">
        <v>0.66666666666666663</v>
      </c>
      <c r="F756" t="b">
        <v>0</v>
      </c>
      <c r="G756" s="3" t="s">
        <v>251</v>
      </c>
      <c r="H756" s="3" t="s">
        <v>243</v>
      </c>
      <c r="I756" t="b">
        <v>0</v>
      </c>
    </row>
    <row r="757" spans="1:9" ht="15" hidden="1" customHeight="1" x14ac:dyDescent="0.2">
      <c r="A757" s="3" t="s">
        <v>250</v>
      </c>
      <c r="B757" s="5">
        <v>45240</v>
      </c>
      <c r="C757" s="3">
        <v>0.66666666666666663</v>
      </c>
      <c r="D757" s="5">
        <v>45240</v>
      </c>
      <c r="E757" s="3">
        <v>0.70833333333333326</v>
      </c>
      <c r="F757" t="b">
        <v>0</v>
      </c>
      <c r="G757" s="3" t="s">
        <v>251</v>
      </c>
      <c r="H757" s="3" t="s">
        <v>243</v>
      </c>
      <c r="I757" t="b">
        <v>0</v>
      </c>
    </row>
    <row r="758" spans="1:9" ht="15" hidden="1" customHeight="1" x14ac:dyDescent="0.2">
      <c r="A758" t="s">
        <v>172</v>
      </c>
      <c r="B758" s="5">
        <v>45194</v>
      </c>
      <c r="C758" s="3">
        <v>0.4375</v>
      </c>
      <c r="D758" s="5">
        <v>45194</v>
      </c>
      <c r="E758" s="3">
        <v>0.47916666666666669</v>
      </c>
      <c r="F758" t="b">
        <v>0</v>
      </c>
      <c r="G758" s="4" t="s">
        <v>173</v>
      </c>
      <c r="H758" t="s">
        <v>125</v>
      </c>
      <c r="I758" t="b">
        <v>0</v>
      </c>
    </row>
    <row r="759" spans="1:9" ht="15" hidden="1" customHeight="1" x14ac:dyDescent="0.2">
      <c r="A759" s="6" t="s">
        <v>231</v>
      </c>
      <c r="B759" s="5">
        <v>45196</v>
      </c>
      <c r="C759" s="3">
        <v>0.39583333333333331</v>
      </c>
      <c r="D759" s="5">
        <v>45196</v>
      </c>
      <c r="E759" s="3">
        <v>0.4375</v>
      </c>
      <c r="F759" t="b">
        <v>0</v>
      </c>
      <c r="G759" s="7" t="s">
        <v>232</v>
      </c>
      <c r="H759" t="s">
        <v>233</v>
      </c>
      <c r="I759" t="b">
        <v>0</v>
      </c>
    </row>
    <row r="760" spans="1:9" ht="15" hidden="1" customHeight="1" x14ac:dyDescent="0.2">
      <c r="A760" s="6" t="s">
        <v>231</v>
      </c>
      <c r="B760" s="5">
        <v>45198</v>
      </c>
      <c r="C760" s="3">
        <v>0.4375</v>
      </c>
      <c r="D760" s="5">
        <v>45198</v>
      </c>
      <c r="E760" s="3">
        <v>0.47916666666666669</v>
      </c>
      <c r="F760" t="b">
        <v>0</v>
      </c>
      <c r="G760" s="7" t="s">
        <v>232</v>
      </c>
      <c r="H760" t="s">
        <v>233</v>
      </c>
      <c r="I760" t="b">
        <v>0</v>
      </c>
    </row>
    <row r="761" spans="1:9" ht="15" hidden="1" customHeight="1" x14ac:dyDescent="0.2">
      <c r="A761" s="3" t="s">
        <v>231</v>
      </c>
      <c r="B761" s="5">
        <v>45201</v>
      </c>
      <c r="C761" s="3">
        <v>0.35416666666666669</v>
      </c>
      <c r="D761" s="5">
        <v>45201</v>
      </c>
      <c r="E761" s="3">
        <v>0.39583333333333337</v>
      </c>
      <c r="F761" t="b">
        <v>0</v>
      </c>
      <c r="G761" s="3" t="s">
        <v>232</v>
      </c>
      <c r="H761" s="3" t="s">
        <v>233</v>
      </c>
      <c r="I761" t="b">
        <v>0</v>
      </c>
    </row>
    <row r="762" spans="1:9" ht="15" hidden="1" customHeight="1" x14ac:dyDescent="0.2">
      <c r="A762" s="3" t="s">
        <v>231</v>
      </c>
      <c r="B762" s="5">
        <v>45203</v>
      </c>
      <c r="C762" s="3">
        <v>0.39583333333333331</v>
      </c>
      <c r="D762" s="5">
        <v>45203</v>
      </c>
      <c r="E762" s="3">
        <v>0.4375</v>
      </c>
      <c r="F762" t="b">
        <v>0</v>
      </c>
      <c r="G762" s="3" t="s">
        <v>232</v>
      </c>
      <c r="H762" s="3" t="s">
        <v>233</v>
      </c>
      <c r="I762" t="b">
        <v>0</v>
      </c>
    </row>
    <row r="763" spans="1:9" ht="15" hidden="1" customHeight="1" x14ac:dyDescent="0.2">
      <c r="A763" s="3" t="s">
        <v>231</v>
      </c>
      <c r="B763" s="5">
        <v>45205</v>
      </c>
      <c r="C763" s="3">
        <v>0.4375</v>
      </c>
      <c r="D763" s="5">
        <v>45205</v>
      </c>
      <c r="E763" s="3">
        <v>0.47916666666666669</v>
      </c>
      <c r="F763" t="b">
        <v>0</v>
      </c>
      <c r="G763" s="3" t="s">
        <v>232</v>
      </c>
      <c r="H763" s="3" t="s">
        <v>233</v>
      </c>
      <c r="I763" t="b">
        <v>0</v>
      </c>
    </row>
    <row r="764" spans="1:9" ht="15" hidden="1" customHeight="1" x14ac:dyDescent="0.2">
      <c r="A764" s="3" t="s">
        <v>231</v>
      </c>
      <c r="B764" s="5">
        <v>45208</v>
      </c>
      <c r="C764" s="3">
        <v>0.35416666666666669</v>
      </c>
      <c r="D764" s="5">
        <v>45208</v>
      </c>
      <c r="E764" s="3">
        <v>0.39583333333333337</v>
      </c>
      <c r="F764" t="b">
        <v>0</v>
      </c>
      <c r="G764" s="3" t="s">
        <v>232</v>
      </c>
      <c r="H764" s="3" t="s">
        <v>233</v>
      </c>
      <c r="I764" t="b">
        <v>0</v>
      </c>
    </row>
    <row r="765" spans="1:9" ht="15" hidden="1" customHeight="1" x14ac:dyDescent="0.2">
      <c r="A765" s="3" t="s">
        <v>231</v>
      </c>
      <c r="B765" s="5">
        <v>45210</v>
      </c>
      <c r="C765" s="3">
        <v>0.39583333333333331</v>
      </c>
      <c r="D765" s="5">
        <v>45210</v>
      </c>
      <c r="E765" s="3">
        <v>0.4375</v>
      </c>
      <c r="F765" t="b">
        <v>0</v>
      </c>
      <c r="G765" s="3" t="s">
        <v>232</v>
      </c>
      <c r="H765" s="3" t="s">
        <v>233</v>
      </c>
      <c r="I765" t="b">
        <v>0</v>
      </c>
    </row>
    <row r="766" spans="1:9" ht="15" hidden="1" customHeight="1" x14ac:dyDescent="0.2">
      <c r="A766" s="3" t="s">
        <v>231</v>
      </c>
      <c r="B766" s="5">
        <v>45212</v>
      </c>
      <c r="C766" s="3">
        <v>0.4375</v>
      </c>
      <c r="D766" s="5">
        <v>45212</v>
      </c>
      <c r="E766" s="3">
        <v>0.47916666666666669</v>
      </c>
      <c r="F766" t="b">
        <v>0</v>
      </c>
      <c r="G766" s="3" t="s">
        <v>232</v>
      </c>
      <c r="H766" s="3" t="s">
        <v>233</v>
      </c>
      <c r="I766" t="b">
        <v>0</v>
      </c>
    </row>
    <row r="767" spans="1:9" ht="15" hidden="1" customHeight="1" x14ac:dyDescent="0.2">
      <c r="A767" s="3" t="s">
        <v>231</v>
      </c>
      <c r="B767" s="5">
        <v>45215</v>
      </c>
      <c r="C767" s="3">
        <v>0.35416666666666669</v>
      </c>
      <c r="D767" s="5">
        <v>45215</v>
      </c>
      <c r="E767" s="3">
        <v>0.39583333333333337</v>
      </c>
      <c r="F767" t="b">
        <v>0</v>
      </c>
      <c r="G767" s="3" t="s">
        <v>232</v>
      </c>
      <c r="H767" s="3" t="s">
        <v>233</v>
      </c>
      <c r="I767" t="b">
        <v>0</v>
      </c>
    </row>
    <row r="768" spans="1:9" ht="15" hidden="1" customHeight="1" x14ac:dyDescent="0.2">
      <c r="A768" s="3" t="s">
        <v>231</v>
      </c>
      <c r="B768" s="5">
        <v>45217</v>
      </c>
      <c r="C768" s="3">
        <v>0.39583333333333331</v>
      </c>
      <c r="D768" s="5">
        <v>45217</v>
      </c>
      <c r="E768" s="3">
        <v>0.4375</v>
      </c>
      <c r="F768" t="b">
        <v>0</v>
      </c>
      <c r="G768" s="3" t="s">
        <v>232</v>
      </c>
      <c r="H768" s="3" t="s">
        <v>233</v>
      </c>
      <c r="I768" t="b">
        <v>0</v>
      </c>
    </row>
    <row r="769" spans="1:9" ht="15" hidden="1" customHeight="1" x14ac:dyDescent="0.2">
      <c r="A769" s="3" t="s">
        <v>231</v>
      </c>
      <c r="B769" s="5">
        <v>45219</v>
      </c>
      <c r="C769" s="3">
        <v>0.4375</v>
      </c>
      <c r="D769" s="5">
        <v>45219</v>
      </c>
      <c r="E769" s="3">
        <v>0.47916666666666669</v>
      </c>
      <c r="F769" t="b">
        <v>0</v>
      </c>
      <c r="G769" s="3" t="s">
        <v>232</v>
      </c>
      <c r="H769" s="3" t="s">
        <v>233</v>
      </c>
      <c r="I769" t="b">
        <v>0</v>
      </c>
    </row>
    <row r="770" spans="1:9" ht="15" hidden="1" customHeight="1" x14ac:dyDescent="0.2">
      <c r="A770" s="3" t="s">
        <v>231</v>
      </c>
      <c r="B770" s="5">
        <v>45222</v>
      </c>
      <c r="C770" s="3">
        <v>0.35416666666666669</v>
      </c>
      <c r="D770" s="5">
        <v>45222</v>
      </c>
      <c r="E770" s="3">
        <v>0.39583333333333337</v>
      </c>
      <c r="F770" t="b">
        <v>0</v>
      </c>
      <c r="G770" s="3" t="s">
        <v>232</v>
      </c>
      <c r="H770" s="3" t="s">
        <v>233</v>
      </c>
      <c r="I770" t="b">
        <v>0</v>
      </c>
    </row>
    <row r="771" spans="1:9" ht="15" hidden="1" customHeight="1" x14ac:dyDescent="0.2">
      <c r="A771" s="3" t="s">
        <v>231</v>
      </c>
      <c r="B771" s="5">
        <v>45224</v>
      </c>
      <c r="C771" s="3">
        <v>0.39583333333333331</v>
      </c>
      <c r="D771" s="5">
        <v>45224</v>
      </c>
      <c r="E771" s="3">
        <v>0.4375</v>
      </c>
      <c r="F771" t="b">
        <v>0</v>
      </c>
      <c r="G771" s="3" t="s">
        <v>232</v>
      </c>
      <c r="H771" s="3" t="s">
        <v>233</v>
      </c>
      <c r="I771" t="b">
        <v>0</v>
      </c>
    </row>
    <row r="772" spans="1:9" ht="15" hidden="1" customHeight="1" x14ac:dyDescent="0.2">
      <c r="A772" s="3" t="s">
        <v>231</v>
      </c>
      <c r="B772" s="5">
        <v>45226</v>
      </c>
      <c r="C772" s="3">
        <v>0.4375</v>
      </c>
      <c r="D772" s="5">
        <v>45226</v>
      </c>
      <c r="E772" s="3">
        <v>0.47916666666666669</v>
      </c>
      <c r="F772" t="b">
        <v>0</v>
      </c>
      <c r="G772" s="3" t="s">
        <v>232</v>
      </c>
      <c r="H772" s="3" t="s">
        <v>233</v>
      </c>
      <c r="I772" t="b">
        <v>0</v>
      </c>
    </row>
    <row r="773" spans="1:9" ht="15" hidden="1" customHeight="1" x14ac:dyDescent="0.2">
      <c r="A773" s="3" t="s">
        <v>231</v>
      </c>
      <c r="B773" s="5">
        <v>45229</v>
      </c>
      <c r="C773" s="3">
        <v>0.35416666666666669</v>
      </c>
      <c r="D773" s="5">
        <v>45229</v>
      </c>
      <c r="E773" s="3">
        <v>0.39583333333333337</v>
      </c>
      <c r="F773" t="b">
        <v>0</v>
      </c>
      <c r="G773" s="3" t="s">
        <v>232</v>
      </c>
      <c r="H773" s="3" t="s">
        <v>233</v>
      </c>
      <c r="I773" t="b">
        <v>0</v>
      </c>
    </row>
    <row r="774" spans="1:9" ht="15" hidden="1" customHeight="1" x14ac:dyDescent="0.2">
      <c r="A774" s="3" t="s">
        <v>231</v>
      </c>
      <c r="B774" s="5">
        <v>45231</v>
      </c>
      <c r="C774" s="3">
        <v>0.39583333333333331</v>
      </c>
      <c r="D774" s="5">
        <v>45231</v>
      </c>
      <c r="E774" s="3">
        <v>0.4375</v>
      </c>
      <c r="F774" t="b">
        <v>0</v>
      </c>
      <c r="G774" s="3" t="s">
        <v>232</v>
      </c>
      <c r="H774" s="3" t="s">
        <v>233</v>
      </c>
      <c r="I774" t="b">
        <v>0</v>
      </c>
    </row>
    <row r="775" spans="1:9" ht="15" hidden="1" customHeight="1" x14ac:dyDescent="0.2">
      <c r="A775" s="3" t="s">
        <v>231</v>
      </c>
      <c r="B775" s="5">
        <v>45233</v>
      </c>
      <c r="C775" s="3">
        <v>0.4375</v>
      </c>
      <c r="D775" s="5">
        <v>45233</v>
      </c>
      <c r="E775" s="3">
        <v>0.47916666666666669</v>
      </c>
      <c r="F775" t="b">
        <v>0</v>
      </c>
      <c r="G775" s="3" t="s">
        <v>232</v>
      </c>
      <c r="H775" s="3" t="s">
        <v>233</v>
      </c>
      <c r="I775" t="b">
        <v>0</v>
      </c>
    </row>
    <row r="776" spans="1:9" ht="15" hidden="1" customHeight="1" x14ac:dyDescent="0.2">
      <c r="A776" s="3" t="s">
        <v>231</v>
      </c>
      <c r="B776" s="5">
        <v>45236</v>
      </c>
      <c r="C776" s="3">
        <v>0.35416666666666669</v>
      </c>
      <c r="D776" s="5">
        <v>45236</v>
      </c>
      <c r="E776" s="3">
        <v>0.39583333333333337</v>
      </c>
      <c r="F776" t="b">
        <v>0</v>
      </c>
      <c r="G776" s="3" t="s">
        <v>232</v>
      </c>
      <c r="H776" s="3" t="s">
        <v>233</v>
      </c>
      <c r="I776" t="b">
        <v>0</v>
      </c>
    </row>
    <row r="777" spans="1:9" ht="15" hidden="1" customHeight="1" x14ac:dyDescent="0.2">
      <c r="A777" s="3" t="s">
        <v>231</v>
      </c>
      <c r="B777" s="5">
        <v>45238</v>
      </c>
      <c r="C777" s="3">
        <v>0.39583333333333331</v>
      </c>
      <c r="D777" s="5">
        <v>45238</v>
      </c>
      <c r="E777" s="3">
        <v>0.4375</v>
      </c>
      <c r="F777" t="b">
        <v>0</v>
      </c>
      <c r="G777" s="3" t="s">
        <v>232</v>
      </c>
      <c r="H777" s="3" t="s">
        <v>233</v>
      </c>
      <c r="I777" t="b">
        <v>0</v>
      </c>
    </row>
    <row r="778" spans="1:9" ht="15" hidden="1" customHeight="1" x14ac:dyDescent="0.2">
      <c r="A778" s="3" t="s">
        <v>231</v>
      </c>
      <c r="B778" s="5">
        <v>45240</v>
      </c>
      <c r="C778" s="3">
        <v>0.4375</v>
      </c>
      <c r="D778" s="5">
        <v>45240</v>
      </c>
      <c r="E778" s="3">
        <v>0.47916666666666669</v>
      </c>
      <c r="F778" t="b">
        <v>0</v>
      </c>
      <c r="G778" s="3" t="s">
        <v>232</v>
      </c>
      <c r="H778" s="3" t="s">
        <v>233</v>
      </c>
      <c r="I778" t="b">
        <v>0</v>
      </c>
    </row>
    <row r="779" spans="1:9" ht="15" hidden="1" customHeight="1" x14ac:dyDescent="0.2">
      <c r="A779" s="6" t="s">
        <v>283</v>
      </c>
      <c r="B779" s="5">
        <v>45195</v>
      </c>
      <c r="C779" s="3">
        <v>0.70833333333333337</v>
      </c>
      <c r="D779" s="5">
        <v>45195</v>
      </c>
      <c r="E779" s="3">
        <v>0.75</v>
      </c>
      <c r="F779" t="b">
        <v>0</v>
      </c>
      <c r="G779" s="7" t="s">
        <v>284</v>
      </c>
      <c r="H779" t="s">
        <v>258</v>
      </c>
      <c r="I779" t="b">
        <v>0</v>
      </c>
    </row>
    <row r="780" spans="1:9" ht="15" hidden="1" customHeight="1" x14ac:dyDescent="0.2">
      <c r="A780" s="6" t="s">
        <v>283</v>
      </c>
      <c r="B780" s="5">
        <v>45196</v>
      </c>
      <c r="C780" s="3">
        <v>0.625</v>
      </c>
      <c r="D780" s="5">
        <v>45196</v>
      </c>
      <c r="E780" s="3">
        <v>0.66666666666666663</v>
      </c>
      <c r="F780" t="b">
        <v>0</v>
      </c>
      <c r="G780" s="7" t="s">
        <v>284</v>
      </c>
      <c r="H780" t="s">
        <v>258</v>
      </c>
      <c r="I780" t="b">
        <v>0</v>
      </c>
    </row>
    <row r="781" spans="1:9" ht="15" hidden="1" customHeight="1" x14ac:dyDescent="0.2">
      <c r="A781" s="6" t="s">
        <v>283</v>
      </c>
      <c r="B781" s="5">
        <v>45197</v>
      </c>
      <c r="C781" s="3">
        <v>0.66666666666666663</v>
      </c>
      <c r="D781" s="5">
        <v>45197</v>
      </c>
      <c r="E781" s="3">
        <v>0.70833333333333326</v>
      </c>
      <c r="F781" t="b">
        <v>0</v>
      </c>
      <c r="G781" s="7" t="s">
        <v>284</v>
      </c>
      <c r="H781" t="s">
        <v>258</v>
      </c>
      <c r="I781" t="b">
        <v>0</v>
      </c>
    </row>
    <row r="782" spans="1:9" ht="15" hidden="1" customHeight="1" x14ac:dyDescent="0.2">
      <c r="A782" s="3" t="s">
        <v>283</v>
      </c>
      <c r="B782" s="5">
        <v>45202</v>
      </c>
      <c r="C782" s="3">
        <v>0.70833333333333337</v>
      </c>
      <c r="D782" s="5">
        <v>45202</v>
      </c>
      <c r="E782" s="3">
        <v>0.75</v>
      </c>
      <c r="F782" t="b">
        <v>0</v>
      </c>
      <c r="G782" s="3" t="s">
        <v>284</v>
      </c>
      <c r="H782" s="3" t="s">
        <v>258</v>
      </c>
      <c r="I782" t="b">
        <v>0</v>
      </c>
    </row>
    <row r="783" spans="1:9" ht="15" hidden="1" customHeight="1" x14ac:dyDescent="0.2">
      <c r="A783" s="3" t="s">
        <v>283</v>
      </c>
      <c r="B783" s="5">
        <v>45203</v>
      </c>
      <c r="C783" s="3">
        <v>0.625</v>
      </c>
      <c r="D783" s="5">
        <v>45203</v>
      </c>
      <c r="E783" s="3">
        <v>0.66666666666666663</v>
      </c>
      <c r="F783" t="b">
        <v>0</v>
      </c>
      <c r="G783" s="3" t="s">
        <v>284</v>
      </c>
      <c r="H783" s="3" t="s">
        <v>258</v>
      </c>
      <c r="I783" t="b">
        <v>0</v>
      </c>
    </row>
    <row r="784" spans="1:9" ht="15" hidden="1" customHeight="1" x14ac:dyDescent="0.2">
      <c r="A784" s="3" t="s">
        <v>283</v>
      </c>
      <c r="B784" s="5">
        <v>45204</v>
      </c>
      <c r="C784" s="3">
        <v>0.66666666666666663</v>
      </c>
      <c r="D784" s="5">
        <v>45204</v>
      </c>
      <c r="E784" s="3">
        <v>0.70833333333333326</v>
      </c>
      <c r="F784" t="b">
        <v>0</v>
      </c>
      <c r="G784" s="3" t="s">
        <v>284</v>
      </c>
      <c r="H784" s="3" t="s">
        <v>258</v>
      </c>
      <c r="I784" t="b">
        <v>0</v>
      </c>
    </row>
    <row r="785" spans="1:9" ht="15" hidden="1" customHeight="1" x14ac:dyDescent="0.2">
      <c r="A785" s="3" t="s">
        <v>283</v>
      </c>
      <c r="B785" s="5">
        <v>45209</v>
      </c>
      <c r="C785" s="3">
        <v>0.70833333333333337</v>
      </c>
      <c r="D785" s="5">
        <v>45209</v>
      </c>
      <c r="E785" s="3">
        <v>0.75</v>
      </c>
      <c r="F785" t="b">
        <v>0</v>
      </c>
      <c r="G785" s="3" t="s">
        <v>284</v>
      </c>
      <c r="H785" s="3" t="s">
        <v>258</v>
      </c>
      <c r="I785" t="b">
        <v>0</v>
      </c>
    </row>
    <row r="786" spans="1:9" ht="15" hidden="1" customHeight="1" x14ac:dyDescent="0.2">
      <c r="A786" s="3" t="s">
        <v>283</v>
      </c>
      <c r="B786" s="5">
        <v>45210</v>
      </c>
      <c r="C786" s="3">
        <v>0.625</v>
      </c>
      <c r="D786" s="5">
        <v>45210</v>
      </c>
      <c r="E786" s="3">
        <v>0.66666666666666663</v>
      </c>
      <c r="F786" t="b">
        <v>0</v>
      </c>
      <c r="G786" s="3" t="s">
        <v>284</v>
      </c>
      <c r="H786" s="3" t="s">
        <v>258</v>
      </c>
      <c r="I786" t="b">
        <v>0</v>
      </c>
    </row>
    <row r="787" spans="1:9" ht="15" hidden="1" customHeight="1" x14ac:dyDescent="0.2">
      <c r="A787" s="3" t="s">
        <v>283</v>
      </c>
      <c r="B787" s="5">
        <v>45211</v>
      </c>
      <c r="C787" s="3">
        <v>0.66666666666666663</v>
      </c>
      <c r="D787" s="5">
        <v>45211</v>
      </c>
      <c r="E787" s="3">
        <v>0.70833333333333326</v>
      </c>
      <c r="F787" t="b">
        <v>0</v>
      </c>
      <c r="G787" s="3" t="s">
        <v>284</v>
      </c>
      <c r="H787" s="3" t="s">
        <v>258</v>
      </c>
      <c r="I787" t="b">
        <v>0</v>
      </c>
    </row>
    <row r="788" spans="1:9" ht="15" hidden="1" customHeight="1" x14ac:dyDescent="0.2">
      <c r="A788" s="3" t="s">
        <v>283</v>
      </c>
      <c r="B788" s="5">
        <v>45216</v>
      </c>
      <c r="C788" s="3">
        <v>0.70833333333333337</v>
      </c>
      <c r="D788" s="5">
        <v>45216</v>
      </c>
      <c r="E788" s="3">
        <v>0.75</v>
      </c>
      <c r="F788" t="b">
        <v>0</v>
      </c>
      <c r="G788" s="3" t="s">
        <v>284</v>
      </c>
      <c r="H788" s="3" t="s">
        <v>258</v>
      </c>
      <c r="I788" t="b">
        <v>0</v>
      </c>
    </row>
    <row r="789" spans="1:9" ht="15" hidden="1" customHeight="1" x14ac:dyDescent="0.2">
      <c r="A789" s="3" t="s">
        <v>283</v>
      </c>
      <c r="B789" s="5">
        <v>45217</v>
      </c>
      <c r="C789" s="3">
        <v>0.625</v>
      </c>
      <c r="D789" s="5">
        <v>45217</v>
      </c>
      <c r="E789" s="3">
        <v>0.66666666666666663</v>
      </c>
      <c r="F789" t="b">
        <v>0</v>
      </c>
      <c r="G789" s="3" t="s">
        <v>284</v>
      </c>
      <c r="H789" s="3" t="s">
        <v>258</v>
      </c>
      <c r="I789" t="b">
        <v>0</v>
      </c>
    </row>
    <row r="790" spans="1:9" ht="15" hidden="1" customHeight="1" x14ac:dyDescent="0.2">
      <c r="A790" s="3" t="s">
        <v>283</v>
      </c>
      <c r="B790" s="5">
        <v>45218</v>
      </c>
      <c r="C790" s="3">
        <v>0.66666666666666663</v>
      </c>
      <c r="D790" s="5">
        <v>45218</v>
      </c>
      <c r="E790" s="3">
        <v>0.70833333333333326</v>
      </c>
      <c r="F790" t="b">
        <v>0</v>
      </c>
      <c r="G790" s="3" t="s">
        <v>284</v>
      </c>
      <c r="H790" s="3" t="s">
        <v>258</v>
      </c>
      <c r="I790" t="b">
        <v>0</v>
      </c>
    </row>
    <row r="791" spans="1:9" ht="15" hidden="1" customHeight="1" x14ac:dyDescent="0.2">
      <c r="A791" s="3" t="s">
        <v>283</v>
      </c>
      <c r="B791" s="5">
        <v>45223</v>
      </c>
      <c r="C791" s="3">
        <v>0.70833333333333337</v>
      </c>
      <c r="D791" s="5">
        <v>45223</v>
      </c>
      <c r="E791" s="3">
        <v>0.75</v>
      </c>
      <c r="F791" t="b">
        <v>0</v>
      </c>
      <c r="G791" s="3" t="s">
        <v>284</v>
      </c>
      <c r="H791" s="3" t="s">
        <v>258</v>
      </c>
      <c r="I791" t="b">
        <v>0</v>
      </c>
    </row>
    <row r="792" spans="1:9" ht="15" hidden="1" customHeight="1" x14ac:dyDescent="0.2">
      <c r="A792" s="3" t="s">
        <v>283</v>
      </c>
      <c r="B792" s="5">
        <v>45224</v>
      </c>
      <c r="C792" s="3">
        <v>0.625</v>
      </c>
      <c r="D792" s="5">
        <v>45224</v>
      </c>
      <c r="E792" s="3">
        <v>0.66666666666666663</v>
      </c>
      <c r="F792" t="b">
        <v>0</v>
      </c>
      <c r="G792" s="3" t="s">
        <v>284</v>
      </c>
      <c r="H792" s="3" t="s">
        <v>258</v>
      </c>
      <c r="I792" t="b">
        <v>0</v>
      </c>
    </row>
    <row r="793" spans="1:9" ht="15" hidden="1" customHeight="1" x14ac:dyDescent="0.2">
      <c r="A793" s="3" t="s">
        <v>283</v>
      </c>
      <c r="B793" s="5">
        <v>45225</v>
      </c>
      <c r="C793" s="3">
        <v>0.66666666666666663</v>
      </c>
      <c r="D793" s="5">
        <v>45225</v>
      </c>
      <c r="E793" s="3">
        <v>0.70833333333333326</v>
      </c>
      <c r="F793" t="b">
        <v>0</v>
      </c>
      <c r="G793" s="3" t="s">
        <v>284</v>
      </c>
      <c r="H793" s="3" t="s">
        <v>258</v>
      </c>
      <c r="I793" t="b">
        <v>0</v>
      </c>
    </row>
    <row r="794" spans="1:9" ht="15" hidden="1" customHeight="1" x14ac:dyDescent="0.2">
      <c r="A794" s="3" t="s">
        <v>283</v>
      </c>
      <c r="B794" s="5">
        <v>45230</v>
      </c>
      <c r="C794" s="3">
        <v>0.70833333333333337</v>
      </c>
      <c r="D794" s="5">
        <v>45230</v>
      </c>
      <c r="E794" s="3">
        <v>0.75</v>
      </c>
      <c r="F794" t="b">
        <v>0</v>
      </c>
      <c r="G794" s="3" t="s">
        <v>284</v>
      </c>
      <c r="H794" s="3" t="s">
        <v>258</v>
      </c>
      <c r="I794" t="b">
        <v>0</v>
      </c>
    </row>
    <row r="795" spans="1:9" ht="15" hidden="1" customHeight="1" x14ac:dyDescent="0.2">
      <c r="A795" s="3" t="s">
        <v>283</v>
      </c>
      <c r="B795" s="5">
        <v>45231</v>
      </c>
      <c r="C795" s="3">
        <v>0.625</v>
      </c>
      <c r="D795" s="5">
        <v>45231</v>
      </c>
      <c r="E795" s="3">
        <v>0.66666666666666663</v>
      </c>
      <c r="F795" t="b">
        <v>0</v>
      </c>
      <c r="G795" s="3" t="s">
        <v>284</v>
      </c>
      <c r="H795" s="3" t="s">
        <v>258</v>
      </c>
      <c r="I795" t="b">
        <v>0</v>
      </c>
    </row>
    <row r="796" spans="1:9" ht="15" hidden="1" customHeight="1" x14ac:dyDescent="0.2">
      <c r="A796" s="3" t="s">
        <v>283</v>
      </c>
      <c r="B796" s="5">
        <v>45232</v>
      </c>
      <c r="C796" s="3">
        <v>0.66666666666666663</v>
      </c>
      <c r="D796" s="5">
        <v>45232</v>
      </c>
      <c r="E796" s="3">
        <v>0.70833333333333326</v>
      </c>
      <c r="F796" t="b">
        <v>0</v>
      </c>
      <c r="G796" s="3" t="s">
        <v>284</v>
      </c>
      <c r="H796" s="3" t="s">
        <v>258</v>
      </c>
      <c r="I796" t="b">
        <v>0</v>
      </c>
    </row>
    <row r="797" spans="1:9" ht="15" hidden="1" customHeight="1" x14ac:dyDescent="0.2">
      <c r="A797" s="3" t="s">
        <v>283</v>
      </c>
      <c r="B797" s="5">
        <v>45237</v>
      </c>
      <c r="C797" s="3">
        <v>0.70833333333333337</v>
      </c>
      <c r="D797" s="5">
        <v>45237</v>
      </c>
      <c r="E797" s="3">
        <v>0.75</v>
      </c>
      <c r="F797" t="b">
        <v>0</v>
      </c>
      <c r="G797" s="3" t="s">
        <v>284</v>
      </c>
      <c r="H797" s="3" t="s">
        <v>258</v>
      </c>
      <c r="I797" t="b">
        <v>0</v>
      </c>
    </row>
    <row r="798" spans="1:9" ht="15" hidden="1" customHeight="1" x14ac:dyDescent="0.2">
      <c r="A798" s="3" t="s">
        <v>283</v>
      </c>
      <c r="B798" s="5">
        <v>45238</v>
      </c>
      <c r="C798" s="3">
        <v>0.625</v>
      </c>
      <c r="D798" s="5">
        <v>45238</v>
      </c>
      <c r="E798" s="3">
        <v>0.66666666666666663</v>
      </c>
      <c r="F798" t="b">
        <v>0</v>
      </c>
      <c r="G798" s="3" t="s">
        <v>284</v>
      </c>
      <c r="H798" s="3" t="s">
        <v>258</v>
      </c>
      <c r="I798" t="b">
        <v>0</v>
      </c>
    </row>
    <row r="799" spans="1:9" ht="15" hidden="1" customHeight="1" x14ac:dyDescent="0.2">
      <c r="A799" s="3" t="s">
        <v>283</v>
      </c>
      <c r="B799" s="5">
        <v>45239</v>
      </c>
      <c r="C799" s="3">
        <v>0.66666666666666663</v>
      </c>
      <c r="D799" s="5">
        <v>45239</v>
      </c>
      <c r="E799" s="3">
        <v>0.70833333333333326</v>
      </c>
      <c r="F799" t="b">
        <v>0</v>
      </c>
      <c r="G799" s="3" t="s">
        <v>284</v>
      </c>
      <c r="H799" s="3" t="s">
        <v>258</v>
      </c>
      <c r="I799" t="b">
        <v>0</v>
      </c>
    </row>
    <row r="800" spans="1:9" ht="15" hidden="1" customHeight="1" x14ac:dyDescent="0.2">
      <c r="A800" s="3" t="s">
        <v>302</v>
      </c>
      <c r="B800" s="5">
        <v>45195</v>
      </c>
      <c r="C800" s="3">
        <v>0.35416666666666669</v>
      </c>
      <c r="D800" s="5">
        <v>45195</v>
      </c>
      <c r="E800" s="3">
        <v>0.39583333333333337</v>
      </c>
      <c r="F800" t="b">
        <v>0</v>
      </c>
      <c r="G800" s="5" t="s">
        <v>303</v>
      </c>
      <c r="H800" t="s">
        <v>243</v>
      </c>
      <c r="I800" t="b">
        <v>0</v>
      </c>
    </row>
    <row r="801" spans="1:9" ht="15" hidden="1" customHeight="1" x14ac:dyDescent="0.2">
      <c r="A801" s="3" t="s">
        <v>302</v>
      </c>
      <c r="B801" s="5">
        <v>45197</v>
      </c>
      <c r="C801" s="3">
        <v>0.47916666666666669</v>
      </c>
      <c r="D801" s="5">
        <v>45197</v>
      </c>
      <c r="E801" s="3">
        <v>0.52083333333333337</v>
      </c>
      <c r="F801" t="b">
        <v>0</v>
      </c>
      <c r="G801" s="11" t="s">
        <v>303</v>
      </c>
      <c r="H801" s="3" t="s">
        <v>243</v>
      </c>
      <c r="I801" t="b">
        <v>0</v>
      </c>
    </row>
    <row r="802" spans="1:9" ht="15" hidden="1" customHeight="1" x14ac:dyDescent="0.2">
      <c r="A802" s="3" t="s">
        <v>302</v>
      </c>
      <c r="B802" s="5">
        <v>45198</v>
      </c>
      <c r="C802" s="3">
        <v>0.625</v>
      </c>
      <c r="D802" s="5">
        <v>45198</v>
      </c>
      <c r="E802" s="3">
        <v>0.66666666666666663</v>
      </c>
      <c r="F802" t="b">
        <v>0</v>
      </c>
      <c r="G802" s="11" t="s">
        <v>303</v>
      </c>
      <c r="H802" s="3" t="s">
        <v>243</v>
      </c>
      <c r="I802" t="b">
        <v>0</v>
      </c>
    </row>
    <row r="803" spans="1:9" ht="15" hidden="1" customHeight="1" x14ac:dyDescent="0.2">
      <c r="A803" s="3" t="s">
        <v>302</v>
      </c>
      <c r="B803" s="5">
        <v>45202</v>
      </c>
      <c r="C803" s="3">
        <v>0.35416666666666669</v>
      </c>
      <c r="D803" s="5">
        <v>45195</v>
      </c>
      <c r="E803" s="3">
        <v>0.39583333333333337</v>
      </c>
      <c r="F803" s="3" t="b">
        <v>0</v>
      </c>
      <c r="G803" s="3" t="s">
        <v>303</v>
      </c>
      <c r="H803" s="3" t="s">
        <v>243</v>
      </c>
      <c r="I803" s="3" t="b">
        <v>0</v>
      </c>
    </row>
    <row r="804" spans="1:9" ht="15" hidden="1" customHeight="1" x14ac:dyDescent="0.2">
      <c r="A804" s="3" t="s">
        <v>302</v>
      </c>
      <c r="B804" s="5">
        <v>45204</v>
      </c>
      <c r="C804" s="3">
        <v>0.47916666666666669</v>
      </c>
      <c r="D804" s="5">
        <v>45197</v>
      </c>
      <c r="E804" s="3">
        <v>0.52083333333333337</v>
      </c>
      <c r="F804" s="3" t="b">
        <v>0</v>
      </c>
      <c r="G804" s="3" t="s">
        <v>303</v>
      </c>
      <c r="H804" s="3" t="s">
        <v>243</v>
      </c>
      <c r="I804" s="3" t="b">
        <v>0</v>
      </c>
    </row>
    <row r="805" spans="1:9" ht="15" hidden="1" customHeight="1" x14ac:dyDescent="0.2">
      <c r="A805" s="3" t="s">
        <v>302</v>
      </c>
      <c r="B805" s="5">
        <v>45205</v>
      </c>
      <c r="C805" s="3">
        <v>0.625</v>
      </c>
      <c r="D805" s="5">
        <v>45198</v>
      </c>
      <c r="E805" s="3">
        <v>0.66666666666666663</v>
      </c>
      <c r="F805" s="3" t="b">
        <v>0</v>
      </c>
      <c r="G805" s="3" t="s">
        <v>303</v>
      </c>
      <c r="H805" s="3" t="s">
        <v>243</v>
      </c>
      <c r="I805" s="3" t="b">
        <v>0</v>
      </c>
    </row>
    <row r="806" spans="1:9" ht="15" hidden="1" customHeight="1" x14ac:dyDescent="0.2">
      <c r="A806" s="3" t="s">
        <v>302</v>
      </c>
      <c r="B806" s="5">
        <v>45209</v>
      </c>
      <c r="C806" s="3">
        <v>0.35416666666666669</v>
      </c>
      <c r="D806" s="5">
        <v>45195</v>
      </c>
      <c r="E806" s="3">
        <v>0.39583333333333337</v>
      </c>
      <c r="F806" s="3" t="b">
        <v>0</v>
      </c>
      <c r="G806" s="3" t="s">
        <v>303</v>
      </c>
      <c r="H806" s="3" t="s">
        <v>243</v>
      </c>
      <c r="I806" s="3" t="b">
        <v>0</v>
      </c>
    </row>
    <row r="807" spans="1:9" ht="15" hidden="1" customHeight="1" x14ac:dyDescent="0.2">
      <c r="A807" s="3" t="s">
        <v>302</v>
      </c>
      <c r="B807" s="5">
        <v>45211</v>
      </c>
      <c r="C807" s="3">
        <v>0.47916666666666669</v>
      </c>
      <c r="D807" s="5">
        <v>45197</v>
      </c>
      <c r="E807" s="3">
        <v>0.52083333333333337</v>
      </c>
      <c r="F807" s="3" t="b">
        <v>0</v>
      </c>
      <c r="G807" s="3" t="s">
        <v>303</v>
      </c>
      <c r="H807" s="3" t="s">
        <v>243</v>
      </c>
      <c r="I807" s="3" t="b">
        <v>0</v>
      </c>
    </row>
    <row r="808" spans="1:9" ht="15" hidden="1" customHeight="1" x14ac:dyDescent="0.2">
      <c r="A808" s="3" t="s">
        <v>302</v>
      </c>
      <c r="B808" s="5">
        <v>45212</v>
      </c>
      <c r="C808" s="3">
        <v>0.625</v>
      </c>
      <c r="D808" s="5">
        <v>45198</v>
      </c>
      <c r="E808" s="3">
        <v>0.66666666666666663</v>
      </c>
      <c r="F808" s="3" t="b">
        <v>0</v>
      </c>
      <c r="G808" s="3" t="s">
        <v>303</v>
      </c>
      <c r="H808" s="3" t="s">
        <v>243</v>
      </c>
      <c r="I808" s="3" t="b">
        <v>0</v>
      </c>
    </row>
    <row r="809" spans="1:9" ht="15" hidden="1" customHeight="1" x14ac:dyDescent="0.2">
      <c r="A809" s="3" t="s">
        <v>302</v>
      </c>
      <c r="B809" s="5">
        <v>45216</v>
      </c>
      <c r="C809" s="3">
        <v>0.35416666666666669</v>
      </c>
      <c r="D809" s="5">
        <v>45195</v>
      </c>
      <c r="E809" s="3">
        <v>0.39583333333333337</v>
      </c>
      <c r="F809" s="3" t="b">
        <v>0</v>
      </c>
      <c r="G809" s="3" t="s">
        <v>303</v>
      </c>
      <c r="H809" s="3" t="s">
        <v>243</v>
      </c>
      <c r="I809" s="3" t="b">
        <v>0</v>
      </c>
    </row>
    <row r="810" spans="1:9" ht="15" hidden="1" customHeight="1" x14ac:dyDescent="0.2">
      <c r="A810" s="3" t="s">
        <v>302</v>
      </c>
      <c r="B810" s="5">
        <v>45218</v>
      </c>
      <c r="C810" s="3">
        <v>0.47916666666666669</v>
      </c>
      <c r="D810" s="5">
        <v>45197</v>
      </c>
      <c r="E810" s="3">
        <v>0.52083333333333337</v>
      </c>
      <c r="F810" s="3" t="b">
        <v>0</v>
      </c>
      <c r="G810" s="3" t="s">
        <v>303</v>
      </c>
      <c r="H810" s="3" t="s">
        <v>243</v>
      </c>
      <c r="I810" s="3" t="b">
        <v>0</v>
      </c>
    </row>
    <row r="811" spans="1:9" ht="15" hidden="1" customHeight="1" x14ac:dyDescent="0.2">
      <c r="A811" s="3" t="s">
        <v>302</v>
      </c>
      <c r="B811" s="5">
        <v>45219</v>
      </c>
      <c r="C811" s="3">
        <v>0.625</v>
      </c>
      <c r="D811" s="5">
        <v>45198</v>
      </c>
      <c r="E811" s="3">
        <v>0.66666666666666663</v>
      </c>
      <c r="F811" s="3" t="b">
        <v>0</v>
      </c>
      <c r="G811" s="3" t="s">
        <v>303</v>
      </c>
      <c r="H811" s="3" t="s">
        <v>243</v>
      </c>
      <c r="I811" s="3" t="b">
        <v>0</v>
      </c>
    </row>
    <row r="812" spans="1:9" ht="15" hidden="1" customHeight="1" x14ac:dyDescent="0.2">
      <c r="A812" s="3" t="s">
        <v>302</v>
      </c>
      <c r="B812" s="5">
        <v>45223</v>
      </c>
      <c r="C812" s="3">
        <v>0.35416666666666669</v>
      </c>
      <c r="D812" s="5">
        <v>45195</v>
      </c>
      <c r="E812" s="3">
        <v>0.39583333333333337</v>
      </c>
      <c r="F812" s="3" t="b">
        <v>0</v>
      </c>
      <c r="G812" s="3" t="s">
        <v>303</v>
      </c>
      <c r="H812" s="3" t="s">
        <v>243</v>
      </c>
      <c r="I812" s="3" t="b">
        <v>0</v>
      </c>
    </row>
    <row r="813" spans="1:9" ht="15" hidden="1" customHeight="1" x14ac:dyDescent="0.2">
      <c r="A813" s="3" t="s">
        <v>302</v>
      </c>
      <c r="B813" s="5">
        <v>45225</v>
      </c>
      <c r="C813" s="3">
        <v>0.47916666666666669</v>
      </c>
      <c r="D813" s="5">
        <v>45197</v>
      </c>
      <c r="E813" s="3">
        <v>0.52083333333333337</v>
      </c>
      <c r="F813" s="3" t="b">
        <v>0</v>
      </c>
      <c r="G813" s="3" t="s">
        <v>303</v>
      </c>
      <c r="H813" s="3" t="s">
        <v>243</v>
      </c>
      <c r="I813" s="3" t="b">
        <v>0</v>
      </c>
    </row>
    <row r="814" spans="1:9" ht="15" hidden="1" customHeight="1" x14ac:dyDescent="0.2">
      <c r="A814" s="3" t="s">
        <v>302</v>
      </c>
      <c r="B814" s="5">
        <v>45226</v>
      </c>
      <c r="C814" s="3">
        <v>0.625</v>
      </c>
      <c r="D814" s="5">
        <v>45198</v>
      </c>
      <c r="E814" s="3">
        <v>0.66666666666666663</v>
      </c>
      <c r="F814" s="3" t="b">
        <v>0</v>
      </c>
      <c r="G814" s="3" t="s">
        <v>303</v>
      </c>
      <c r="H814" s="3" t="s">
        <v>243</v>
      </c>
      <c r="I814" s="3" t="b">
        <v>0</v>
      </c>
    </row>
    <row r="815" spans="1:9" ht="15" hidden="1" customHeight="1" x14ac:dyDescent="0.2">
      <c r="A815" s="3" t="s">
        <v>302</v>
      </c>
      <c r="B815" s="5">
        <v>45230</v>
      </c>
      <c r="C815" s="3">
        <v>0.35416666666666669</v>
      </c>
      <c r="D815" s="5">
        <v>45195</v>
      </c>
      <c r="E815" s="3">
        <v>0.39583333333333337</v>
      </c>
      <c r="F815" s="3" t="b">
        <v>0</v>
      </c>
      <c r="G815" s="3" t="s">
        <v>303</v>
      </c>
      <c r="H815" s="3" t="s">
        <v>243</v>
      </c>
      <c r="I815" s="3" t="b">
        <v>0</v>
      </c>
    </row>
    <row r="816" spans="1:9" ht="15" hidden="1" customHeight="1" x14ac:dyDescent="0.2">
      <c r="A816" s="3" t="s">
        <v>302</v>
      </c>
      <c r="B816" s="5">
        <v>45232</v>
      </c>
      <c r="C816" s="3">
        <v>0.47916666666666669</v>
      </c>
      <c r="D816" s="5">
        <v>45197</v>
      </c>
      <c r="E816" s="3">
        <v>0.52083333333333337</v>
      </c>
      <c r="F816" s="3" t="b">
        <v>0</v>
      </c>
      <c r="G816" s="3" t="s">
        <v>303</v>
      </c>
      <c r="H816" s="3" t="s">
        <v>243</v>
      </c>
      <c r="I816" s="3" t="b">
        <v>0</v>
      </c>
    </row>
    <row r="817" spans="1:9" ht="15" hidden="1" customHeight="1" x14ac:dyDescent="0.2">
      <c r="A817" s="3" t="s">
        <v>302</v>
      </c>
      <c r="B817" s="5">
        <v>45233</v>
      </c>
      <c r="C817" s="3">
        <v>0.625</v>
      </c>
      <c r="D817" s="5">
        <v>45198</v>
      </c>
      <c r="E817" s="3">
        <v>0.66666666666666663</v>
      </c>
      <c r="F817" s="3" t="b">
        <v>0</v>
      </c>
      <c r="G817" s="3" t="s">
        <v>303</v>
      </c>
      <c r="H817" s="3" t="s">
        <v>243</v>
      </c>
      <c r="I817" s="3" t="b">
        <v>0</v>
      </c>
    </row>
    <row r="818" spans="1:9" ht="15" hidden="1" customHeight="1" x14ac:dyDescent="0.2">
      <c r="A818" s="3" t="s">
        <v>302</v>
      </c>
      <c r="B818" s="5">
        <v>45237</v>
      </c>
      <c r="C818" s="3">
        <v>0.35416666666666669</v>
      </c>
      <c r="D818" s="5">
        <v>45195</v>
      </c>
      <c r="E818" s="3">
        <v>0.39583333333333337</v>
      </c>
      <c r="F818" s="3" t="b">
        <v>0</v>
      </c>
      <c r="G818" s="3" t="s">
        <v>303</v>
      </c>
      <c r="H818" s="3" t="s">
        <v>243</v>
      </c>
      <c r="I818" s="3" t="b">
        <v>0</v>
      </c>
    </row>
    <row r="819" spans="1:9" ht="15" hidden="1" customHeight="1" x14ac:dyDescent="0.2">
      <c r="A819" s="3" t="s">
        <v>302</v>
      </c>
      <c r="B819" s="5">
        <v>45239</v>
      </c>
      <c r="C819" s="3">
        <v>0.47916666666666669</v>
      </c>
      <c r="D819" s="5">
        <v>45197</v>
      </c>
      <c r="E819" s="3">
        <v>0.52083333333333337</v>
      </c>
      <c r="F819" s="3" t="b">
        <v>0</v>
      </c>
      <c r="G819" s="3" t="s">
        <v>303</v>
      </c>
      <c r="H819" s="3" t="s">
        <v>243</v>
      </c>
      <c r="I819" s="3" t="b">
        <v>0</v>
      </c>
    </row>
    <row r="820" spans="1:9" ht="15" hidden="1" customHeight="1" x14ac:dyDescent="0.2">
      <c r="A820" s="3" t="s">
        <v>302</v>
      </c>
      <c r="B820" s="5">
        <v>45240</v>
      </c>
      <c r="C820" s="3">
        <v>0.625</v>
      </c>
      <c r="D820" s="5">
        <v>45198</v>
      </c>
      <c r="E820" s="3">
        <v>0.66666666666666663</v>
      </c>
      <c r="F820" s="3" t="b">
        <v>0</v>
      </c>
      <c r="G820" s="3" t="s">
        <v>303</v>
      </c>
      <c r="H820" s="3" t="s">
        <v>243</v>
      </c>
      <c r="I820" s="3" t="b">
        <v>0</v>
      </c>
    </row>
    <row r="821" spans="1:9" ht="15" hidden="1" customHeight="1" x14ac:dyDescent="0.2">
      <c r="A821" t="s">
        <v>196</v>
      </c>
      <c r="B821" s="5">
        <v>45194</v>
      </c>
      <c r="C821" s="3">
        <v>0.4375</v>
      </c>
      <c r="D821" s="5">
        <v>45194</v>
      </c>
      <c r="E821" s="3">
        <v>0.47916666666666669</v>
      </c>
      <c r="F821" t="b">
        <v>0</v>
      </c>
      <c r="G821" s="4" t="s">
        <v>197</v>
      </c>
      <c r="H821" t="s">
        <v>132</v>
      </c>
      <c r="I821" t="b">
        <v>0</v>
      </c>
    </row>
    <row r="822" spans="1:9" ht="15" hidden="1" customHeight="1" x14ac:dyDescent="0.2">
      <c r="A822" s="6" t="s">
        <v>259</v>
      </c>
      <c r="B822" s="5">
        <v>45195</v>
      </c>
      <c r="C822" s="3">
        <v>0.39583333333333331</v>
      </c>
      <c r="D822" s="5">
        <v>45195</v>
      </c>
      <c r="E822" s="3">
        <v>0.4375</v>
      </c>
      <c r="F822" t="b">
        <v>0</v>
      </c>
      <c r="G822" s="7" t="s">
        <v>260</v>
      </c>
      <c r="H822" t="s">
        <v>233</v>
      </c>
      <c r="I822" t="b">
        <v>0</v>
      </c>
    </row>
    <row r="823" spans="1:9" ht="15" hidden="1" customHeight="1" x14ac:dyDescent="0.2">
      <c r="A823" s="6" t="s">
        <v>259</v>
      </c>
      <c r="B823" s="5">
        <v>45197</v>
      </c>
      <c r="C823" s="3">
        <v>0.35416666666666669</v>
      </c>
      <c r="D823" s="5">
        <v>45197</v>
      </c>
      <c r="E823" s="3">
        <v>0.39583333333333337</v>
      </c>
      <c r="F823" t="b">
        <v>0</v>
      </c>
      <c r="G823" s="7" t="s">
        <v>260</v>
      </c>
      <c r="H823" t="s">
        <v>233</v>
      </c>
      <c r="I823" t="b">
        <v>0</v>
      </c>
    </row>
    <row r="824" spans="1:9" ht="15" hidden="1" customHeight="1" x14ac:dyDescent="0.2">
      <c r="A824" s="3" t="s">
        <v>259</v>
      </c>
      <c r="B824" s="5">
        <v>45201</v>
      </c>
      <c r="C824" s="3">
        <v>0.625</v>
      </c>
      <c r="D824" s="5">
        <v>45201</v>
      </c>
      <c r="E824" s="3">
        <v>0.66666666666666663</v>
      </c>
      <c r="F824" t="b">
        <v>0</v>
      </c>
      <c r="G824" s="3" t="s">
        <v>260</v>
      </c>
      <c r="H824" s="3" t="s">
        <v>233</v>
      </c>
      <c r="I824" t="b">
        <v>0</v>
      </c>
    </row>
    <row r="825" spans="1:9" ht="15" hidden="1" customHeight="1" x14ac:dyDescent="0.2">
      <c r="A825" s="3" t="s">
        <v>259</v>
      </c>
      <c r="B825" s="5">
        <v>45202</v>
      </c>
      <c r="C825" s="3">
        <v>0.39583333333333331</v>
      </c>
      <c r="D825" s="5">
        <v>45202</v>
      </c>
      <c r="E825" s="3">
        <v>0.4375</v>
      </c>
      <c r="F825" t="b">
        <v>0</v>
      </c>
      <c r="G825" s="3" t="s">
        <v>260</v>
      </c>
      <c r="H825" s="3" t="s">
        <v>233</v>
      </c>
      <c r="I825" t="b">
        <v>0</v>
      </c>
    </row>
    <row r="826" spans="1:9" ht="15" hidden="1" customHeight="1" x14ac:dyDescent="0.2">
      <c r="A826" s="3" t="s">
        <v>259</v>
      </c>
      <c r="B826" s="5">
        <v>45204</v>
      </c>
      <c r="C826" s="3">
        <v>0.35416666666666669</v>
      </c>
      <c r="D826" s="5">
        <v>45204</v>
      </c>
      <c r="E826" s="3">
        <v>0.39583333333333337</v>
      </c>
      <c r="F826" t="b">
        <v>0</v>
      </c>
      <c r="G826" s="3" t="s">
        <v>260</v>
      </c>
      <c r="H826" s="3" t="s">
        <v>233</v>
      </c>
      <c r="I826" t="b">
        <v>0</v>
      </c>
    </row>
    <row r="827" spans="1:9" ht="15" hidden="1" customHeight="1" x14ac:dyDescent="0.2">
      <c r="A827" s="3" t="s">
        <v>259</v>
      </c>
      <c r="B827" s="5">
        <v>45208</v>
      </c>
      <c r="C827" s="3">
        <v>0.625</v>
      </c>
      <c r="D827" s="5">
        <v>45208</v>
      </c>
      <c r="E827" s="3">
        <v>0.66666666666666663</v>
      </c>
      <c r="F827" t="b">
        <v>0</v>
      </c>
      <c r="G827" s="3" t="s">
        <v>260</v>
      </c>
      <c r="H827" s="3" t="s">
        <v>233</v>
      </c>
      <c r="I827" t="b">
        <v>0</v>
      </c>
    </row>
    <row r="828" spans="1:9" ht="15" hidden="1" customHeight="1" x14ac:dyDescent="0.2">
      <c r="A828" s="3" t="s">
        <v>259</v>
      </c>
      <c r="B828" s="5">
        <v>45209</v>
      </c>
      <c r="C828" s="3">
        <v>0.39583333333333331</v>
      </c>
      <c r="D828" s="5">
        <v>45209</v>
      </c>
      <c r="E828" s="3">
        <v>0.4375</v>
      </c>
      <c r="F828" t="b">
        <v>0</v>
      </c>
      <c r="G828" s="3" t="s">
        <v>260</v>
      </c>
      <c r="H828" s="3" t="s">
        <v>233</v>
      </c>
      <c r="I828" t="b">
        <v>0</v>
      </c>
    </row>
    <row r="829" spans="1:9" ht="15" hidden="1" customHeight="1" x14ac:dyDescent="0.2">
      <c r="A829" s="3" t="s">
        <v>259</v>
      </c>
      <c r="B829" s="5">
        <v>45211</v>
      </c>
      <c r="C829" s="3">
        <v>0.35416666666666669</v>
      </c>
      <c r="D829" s="5">
        <v>45211</v>
      </c>
      <c r="E829" s="3">
        <v>0.39583333333333337</v>
      </c>
      <c r="F829" t="b">
        <v>0</v>
      </c>
      <c r="G829" s="3" t="s">
        <v>260</v>
      </c>
      <c r="H829" s="3" t="s">
        <v>233</v>
      </c>
      <c r="I829" t="b">
        <v>0</v>
      </c>
    </row>
    <row r="830" spans="1:9" ht="15" hidden="1" customHeight="1" x14ac:dyDescent="0.2">
      <c r="A830" s="3" t="s">
        <v>259</v>
      </c>
      <c r="B830" s="5">
        <v>45215</v>
      </c>
      <c r="C830" s="3">
        <v>0.625</v>
      </c>
      <c r="D830" s="5">
        <v>45215</v>
      </c>
      <c r="E830" s="3">
        <v>0.66666666666666663</v>
      </c>
      <c r="F830" t="b">
        <v>0</v>
      </c>
      <c r="G830" s="3" t="s">
        <v>260</v>
      </c>
      <c r="H830" s="3" t="s">
        <v>233</v>
      </c>
      <c r="I830" t="b">
        <v>0</v>
      </c>
    </row>
    <row r="831" spans="1:9" ht="15" hidden="1" customHeight="1" x14ac:dyDescent="0.2">
      <c r="A831" s="3" t="s">
        <v>259</v>
      </c>
      <c r="B831" s="5">
        <v>45216</v>
      </c>
      <c r="C831" s="3">
        <v>0.39583333333333331</v>
      </c>
      <c r="D831" s="5">
        <v>45216</v>
      </c>
      <c r="E831" s="3">
        <v>0.4375</v>
      </c>
      <c r="F831" t="b">
        <v>0</v>
      </c>
      <c r="G831" s="3" t="s">
        <v>260</v>
      </c>
      <c r="H831" s="3" t="s">
        <v>233</v>
      </c>
      <c r="I831" t="b">
        <v>0</v>
      </c>
    </row>
    <row r="832" spans="1:9" ht="15" hidden="1" customHeight="1" x14ac:dyDescent="0.2">
      <c r="A832" s="3" t="s">
        <v>259</v>
      </c>
      <c r="B832" s="5">
        <v>45218</v>
      </c>
      <c r="C832" s="3">
        <v>0.35416666666666669</v>
      </c>
      <c r="D832" s="5">
        <v>45218</v>
      </c>
      <c r="E832" s="3">
        <v>0.39583333333333337</v>
      </c>
      <c r="F832" t="b">
        <v>0</v>
      </c>
      <c r="G832" s="3" t="s">
        <v>260</v>
      </c>
      <c r="H832" s="3" t="s">
        <v>233</v>
      </c>
      <c r="I832" t="b">
        <v>0</v>
      </c>
    </row>
    <row r="833" spans="1:9" ht="15" hidden="1" customHeight="1" x14ac:dyDescent="0.2">
      <c r="A833" s="3" t="s">
        <v>259</v>
      </c>
      <c r="B833" s="5">
        <v>45222</v>
      </c>
      <c r="C833" s="3">
        <v>0.625</v>
      </c>
      <c r="D833" s="5">
        <v>45222</v>
      </c>
      <c r="E833" s="3">
        <v>0.66666666666666663</v>
      </c>
      <c r="F833" t="b">
        <v>0</v>
      </c>
      <c r="G833" s="3" t="s">
        <v>260</v>
      </c>
      <c r="H833" s="3" t="s">
        <v>233</v>
      </c>
      <c r="I833" t="b">
        <v>0</v>
      </c>
    </row>
    <row r="834" spans="1:9" ht="15" hidden="1" customHeight="1" x14ac:dyDescent="0.2">
      <c r="A834" s="3" t="s">
        <v>259</v>
      </c>
      <c r="B834" s="5">
        <v>45223</v>
      </c>
      <c r="C834" s="3">
        <v>0.39583333333333331</v>
      </c>
      <c r="D834" s="5">
        <v>45223</v>
      </c>
      <c r="E834" s="3">
        <v>0.4375</v>
      </c>
      <c r="F834" t="b">
        <v>0</v>
      </c>
      <c r="G834" s="3" t="s">
        <v>260</v>
      </c>
      <c r="H834" s="3" t="s">
        <v>233</v>
      </c>
      <c r="I834" t="b">
        <v>0</v>
      </c>
    </row>
    <row r="835" spans="1:9" ht="15" hidden="1" customHeight="1" x14ac:dyDescent="0.2">
      <c r="A835" s="3" t="s">
        <v>259</v>
      </c>
      <c r="B835" s="5">
        <v>45225</v>
      </c>
      <c r="C835" s="3">
        <v>0.35416666666666669</v>
      </c>
      <c r="D835" s="5">
        <v>45225</v>
      </c>
      <c r="E835" s="3">
        <v>0.39583333333333337</v>
      </c>
      <c r="F835" t="b">
        <v>0</v>
      </c>
      <c r="G835" s="3" t="s">
        <v>260</v>
      </c>
      <c r="H835" s="3" t="s">
        <v>233</v>
      </c>
      <c r="I835" t="b">
        <v>0</v>
      </c>
    </row>
    <row r="836" spans="1:9" ht="15" hidden="1" customHeight="1" x14ac:dyDescent="0.2">
      <c r="A836" s="3" t="s">
        <v>259</v>
      </c>
      <c r="B836" s="5">
        <v>45229</v>
      </c>
      <c r="C836" s="3">
        <v>0.625</v>
      </c>
      <c r="D836" s="5">
        <v>45229</v>
      </c>
      <c r="E836" s="3">
        <v>0.66666666666666663</v>
      </c>
      <c r="F836" t="b">
        <v>0</v>
      </c>
      <c r="G836" s="3" t="s">
        <v>260</v>
      </c>
      <c r="H836" s="3" t="s">
        <v>233</v>
      </c>
      <c r="I836" t="b">
        <v>0</v>
      </c>
    </row>
    <row r="837" spans="1:9" ht="15" hidden="1" customHeight="1" x14ac:dyDescent="0.2">
      <c r="A837" s="3" t="s">
        <v>259</v>
      </c>
      <c r="B837" s="5">
        <v>45230</v>
      </c>
      <c r="C837" s="3">
        <v>0.39583333333333331</v>
      </c>
      <c r="D837" s="5">
        <v>45230</v>
      </c>
      <c r="E837" s="3">
        <v>0.4375</v>
      </c>
      <c r="F837" t="b">
        <v>0</v>
      </c>
      <c r="G837" s="3" t="s">
        <v>260</v>
      </c>
      <c r="H837" s="3" t="s">
        <v>233</v>
      </c>
      <c r="I837" t="b">
        <v>0</v>
      </c>
    </row>
    <row r="838" spans="1:9" ht="15" hidden="1" customHeight="1" x14ac:dyDescent="0.2">
      <c r="A838" s="3" t="s">
        <v>259</v>
      </c>
      <c r="B838" s="5">
        <v>45232</v>
      </c>
      <c r="C838" s="3">
        <v>0.35416666666666669</v>
      </c>
      <c r="D838" s="5">
        <v>45232</v>
      </c>
      <c r="E838" s="3">
        <v>0.39583333333333337</v>
      </c>
      <c r="F838" t="b">
        <v>0</v>
      </c>
      <c r="G838" s="3" t="s">
        <v>260</v>
      </c>
      <c r="H838" s="3" t="s">
        <v>233</v>
      </c>
      <c r="I838" t="b">
        <v>0</v>
      </c>
    </row>
    <row r="839" spans="1:9" ht="15" hidden="1" customHeight="1" x14ac:dyDescent="0.2">
      <c r="A839" s="3" t="s">
        <v>259</v>
      </c>
      <c r="B839" s="5">
        <v>45236</v>
      </c>
      <c r="C839" s="3">
        <v>0.625</v>
      </c>
      <c r="D839" s="5">
        <v>45236</v>
      </c>
      <c r="E839" s="3">
        <v>0.66666666666666663</v>
      </c>
      <c r="F839" t="b">
        <v>0</v>
      </c>
      <c r="G839" s="3" t="s">
        <v>260</v>
      </c>
      <c r="H839" s="3" t="s">
        <v>233</v>
      </c>
      <c r="I839" t="b">
        <v>0</v>
      </c>
    </row>
    <row r="840" spans="1:9" ht="15" hidden="1" customHeight="1" x14ac:dyDescent="0.2">
      <c r="A840" s="3" t="s">
        <v>259</v>
      </c>
      <c r="B840" s="5">
        <v>45237</v>
      </c>
      <c r="C840" s="3">
        <v>0.39583333333333331</v>
      </c>
      <c r="D840" s="5">
        <v>45237</v>
      </c>
      <c r="E840" s="3">
        <v>0.4375</v>
      </c>
      <c r="F840" t="b">
        <v>0</v>
      </c>
      <c r="G840" s="3" t="s">
        <v>260</v>
      </c>
      <c r="H840" s="3" t="s">
        <v>233</v>
      </c>
      <c r="I840" t="b">
        <v>0</v>
      </c>
    </row>
    <row r="841" spans="1:9" ht="15" hidden="1" customHeight="1" x14ac:dyDescent="0.2">
      <c r="A841" s="3" t="s">
        <v>259</v>
      </c>
      <c r="B841" s="5">
        <v>45239</v>
      </c>
      <c r="C841" s="3">
        <v>0.35416666666666669</v>
      </c>
      <c r="D841" s="5">
        <v>45239</v>
      </c>
      <c r="E841" s="3">
        <v>0.39583333333333337</v>
      </c>
      <c r="F841" t="b">
        <v>0</v>
      </c>
      <c r="G841" s="3" t="s">
        <v>260</v>
      </c>
      <c r="H841" s="3" t="s">
        <v>233</v>
      </c>
      <c r="I841" t="b">
        <v>0</v>
      </c>
    </row>
    <row r="842" spans="1:9" ht="15" hidden="1" customHeight="1" x14ac:dyDescent="0.2">
      <c r="A842" s="6" t="s">
        <v>285</v>
      </c>
      <c r="B842" s="5">
        <v>45195</v>
      </c>
      <c r="C842" s="3">
        <v>0.70833333333333337</v>
      </c>
      <c r="D842" s="5">
        <v>45195</v>
      </c>
      <c r="E842" s="3">
        <v>0.75</v>
      </c>
      <c r="F842" t="b">
        <v>0</v>
      </c>
      <c r="G842" s="7" t="s">
        <v>286</v>
      </c>
      <c r="H842" t="s">
        <v>243</v>
      </c>
      <c r="I842" t="b">
        <v>0</v>
      </c>
    </row>
    <row r="843" spans="1:9" ht="15" hidden="1" customHeight="1" x14ac:dyDescent="0.2">
      <c r="A843" s="6" t="s">
        <v>285</v>
      </c>
      <c r="B843" s="5">
        <v>45196</v>
      </c>
      <c r="C843" s="3">
        <v>0.625</v>
      </c>
      <c r="D843" s="5">
        <v>45196</v>
      </c>
      <c r="E843" s="3">
        <v>0.66666666666666663</v>
      </c>
      <c r="F843" t="b">
        <v>0</v>
      </c>
      <c r="G843" s="8" t="s">
        <v>286</v>
      </c>
      <c r="H843" t="s">
        <v>243</v>
      </c>
      <c r="I843" t="b">
        <v>0</v>
      </c>
    </row>
    <row r="844" spans="1:9" ht="15" hidden="1" customHeight="1" x14ac:dyDescent="0.2">
      <c r="A844" s="6" t="s">
        <v>285</v>
      </c>
      <c r="B844" s="5">
        <v>45197</v>
      </c>
      <c r="C844" s="3">
        <v>0.66666666666666663</v>
      </c>
      <c r="D844" s="5">
        <v>45197</v>
      </c>
      <c r="E844" s="3">
        <v>0.70833333333333326</v>
      </c>
      <c r="F844" t="b">
        <v>0</v>
      </c>
      <c r="G844" s="8" t="s">
        <v>286</v>
      </c>
      <c r="H844" t="s">
        <v>243</v>
      </c>
      <c r="I844" t="b">
        <v>0</v>
      </c>
    </row>
    <row r="845" spans="1:9" ht="15" hidden="1" customHeight="1" x14ac:dyDescent="0.2">
      <c r="A845" s="3" t="s">
        <v>285</v>
      </c>
      <c r="B845" s="5">
        <v>45202</v>
      </c>
      <c r="C845" s="3">
        <v>0.70833333333333337</v>
      </c>
      <c r="D845" s="5">
        <v>45202</v>
      </c>
      <c r="E845" s="3">
        <v>0.75</v>
      </c>
      <c r="F845" t="b">
        <v>0</v>
      </c>
      <c r="G845" s="3" t="s">
        <v>286</v>
      </c>
      <c r="H845" s="3" t="s">
        <v>243</v>
      </c>
      <c r="I845" t="b">
        <v>0</v>
      </c>
    </row>
    <row r="846" spans="1:9" ht="15" hidden="1" customHeight="1" x14ac:dyDescent="0.2">
      <c r="A846" s="3" t="s">
        <v>285</v>
      </c>
      <c r="B846" s="5">
        <v>45203</v>
      </c>
      <c r="C846" s="3">
        <v>0.625</v>
      </c>
      <c r="D846" s="5">
        <v>45203</v>
      </c>
      <c r="E846" s="3">
        <v>0.66666666666666663</v>
      </c>
      <c r="F846" t="b">
        <v>0</v>
      </c>
      <c r="G846" s="3" t="s">
        <v>286</v>
      </c>
      <c r="H846" s="3" t="s">
        <v>243</v>
      </c>
      <c r="I846" t="b">
        <v>0</v>
      </c>
    </row>
    <row r="847" spans="1:9" ht="15" hidden="1" customHeight="1" x14ac:dyDescent="0.2">
      <c r="A847" s="3" t="s">
        <v>285</v>
      </c>
      <c r="B847" s="5">
        <v>45204</v>
      </c>
      <c r="C847" s="3">
        <v>0.66666666666666663</v>
      </c>
      <c r="D847" s="5">
        <v>45204</v>
      </c>
      <c r="E847" s="3">
        <v>0.70833333333333326</v>
      </c>
      <c r="F847" t="b">
        <v>0</v>
      </c>
      <c r="G847" s="3" t="s">
        <v>286</v>
      </c>
      <c r="H847" s="3" t="s">
        <v>243</v>
      </c>
      <c r="I847" t="b">
        <v>0</v>
      </c>
    </row>
    <row r="848" spans="1:9" ht="15" hidden="1" customHeight="1" x14ac:dyDescent="0.2">
      <c r="A848" s="3" t="s">
        <v>285</v>
      </c>
      <c r="B848" s="5">
        <v>45209</v>
      </c>
      <c r="C848" s="3">
        <v>0.70833333333333337</v>
      </c>
      <c r="D848" s="5">
        <v>45209</v>
      </c>
      <c r="E848" s="3">
        <v>0.75</v>
      </c>
      <c r="F848" t="b">
        <v>0</v>
      </c>
      <c r="G848" s="3" t="s">
        <v>286</v>
      </c>
      <c r="H848" s="3" t="s">
        <v>243</v>
      </c>
      <c r="I848" t="b">
        <v>0</v>
      </c>
    </row>
    <row r="849" spans="1:9" ht="15" hidden="1" customHeight="1" x14ac:dyDescent="0.2">
      <c r="A849" s="3" t="s">
        <v>285</v>
      </c>
      <c r="B849" s="5">
        <v>45210</v>
      </c>
      <c r="C849" s="3">
        <v>0.625</v>
      </c>
      <c r="D849" s="5">
        <v>45210</v>
      </c>
      <c r="E849" s="3">
        <v>0.66666666666666663</v>
      </c>
      <c r="F849" t="b">
        <v>0</v>
      </c>
      <c r="G849" s="3" t="s">
        <v>286</v>
      </c>
      <c r="H849" s="3" t="s">
        <v>243</v>
      </c>
      <c r="I849" t="b">
        <v>0</v>
      </c>
    </row>
    <row r="850" spans="1:9" ht="15" hidden="1" customHeight="1" x14ac:dyDescent="0.2">
      <c r="A850" s="3" t="s">
        <v>285</v>
      </c>
      <c r="B850" s="5">
        <v>45211</v>
      </c>
      <c r="C850" s="3">
        <v>0.66666666666666663</v>
      </c>
      <c r="D850" s="5">
        <v>45211</v>
      </c>
      <c r="E850" s="3">
        <v>0.70833333333333326</v>
      </c>
      <c r="F850" t="b">
        <v>0</v>
      </c>
      <c r="G850" s="3" t="s">
        <v>286</v>
      </c>
      <c r="H850" s="3" t="s">
        <v>243</v>
      </c>
      <c r="I850" t="b">
        <v>0</v>
      </c>
    </row>
    <row r="851" spans="1:9" ht="15" hidden="1" customHeight="1" x14ac:dyDescent="0.2">
      <c r="A851" s="3" t="s">
        <v>285</v>
      </c>
      <c r="B851" s="5">
        <v>45216</v>
      </c>
      <c r="C851" s="3">
        <v>0.70833333333333337</v>
      </c>
      <c r="D851" s="5">
        <v>45216</v>
      </c>
      <c r="E851" s="3">
        <v>0.75</v>
      </c>
      <c r="F851" t="b">
        <v>0</v>
      </c>
      <c r="G851" s="3" t="s">
        <v>286</v>
      </c>
      <c r="H851" s="3" t="s">
        <v>243</v>
      </c>
      <c r="I851" t="b">
        <v>0</v>
      </c>
    </row>
    <row r="852" spans="1:9" ht="15" hidden="1" customHeight="1" x14ac:dyDescent="0.2">
      <c r="A852" s="3" t="s">
        <v>285</v>
      </c>
      <c r="B852" s="5">
        <v>45217</v>
      </c>
      <c r="C852" s="3">
        <v>0.625</v>
      </c>
      <c r="D852" s="5">
        <v>45217</v>
      </c>
      <c r="E852" s="3">
        <v>0.66666666666666663</v>
      </c>
      <c r="F852" t="b">
        <v>0</v>
      </c>
      <c r="G852" s="3" t="s">
        <v>286</v>
      </c>
      <c r="H852" s="3" t="s">
        <v>243</v>
      </c>
      <c r="I852" t="b">
        <v>0</v>
      </c>
    </row>
    <row r="853" spans="1:9" ht="15" hidden="1" customHeight="1" x14ac:dyDescent="0.2">
      <c r="A853" s="3" t="s">
        <v>285</v>
      </c>
      <c r="B853" s="5">
        <v>45218</v>
      </c>
      <c r="C853" s="3">
        <v>0.66666666666666663</v>
      </c>
      <c r="D853" s="5">
        <v>45218</v>
      </c>
      <c r="E853" s="3">
        <v>0.70833333333333326</v>
      </c>
      <c r="F853" t="b">
        <v>0</v>
      </c>
      <c r="G853" s="3" t="s">
        <v>286</v>
      </c>
      <c r="H853" s="3" t="s">
        <v>243</v>
      </c>
      <c r="I853" t="b">
        <v>0</v>
      </c>
    </row>
    <row r="854" spans="1:9" ht="15" hidden="1" customHeight="1" x14ac:dyDescent="0.2">
      <c r="A854" s="3" t="s">
        <v>285</v>
      </c>
      <c r="B854" s="5">
        <v>45223</v>
      </c>
      <c r="C854" s="3">
        <v>0.70833333333333337</v>
      </c>
      <c r="D854" s="5">
        <v>45223</v>
      </c>
      <c r="E854" s="3">
        <v>0.75</v>
      </c>
      <c r="F854" t="b">
        <v>0</v>
      </c>
      <c r="G854" s="3" t="s">
        <v>286</v>
      </c>
      <c r="H854" s="3" t="s">
        <v>243</v>
      </c>
      <c r="I854" t="b">
        <v>0</v>
      </c>
    </row>
    <row r="855" spans="1:9" ht="15" hidden="1" customHeight="1" x14ac:dyDescent="0.2">
      <c r="A855" s="3" t="s">
        <v>285</v>
      </c>
      <c r="B855" s="5">
        <v>45224</v>
      </c>
      <c r="C855" s="3">
        <v>0.625</v>
      </c>
      <c r="D855" s="5">
        <v>45224</v>
      </c>
      <c r="E855" s="3">
        <v>0.66666666666666663</v>
      </c>
      <c r="F855" t="b">
        <v>0</v>
      </c>
      <c r="G855" s="3" t="s">
        <v>286</v>
      </c>
      <c r="H855" s="3" t="s">
        <v>243</v>
      </c>
      <c r="I855" t="b">
        <v>0</v>
      </c>
    </row>
    <row r="856" spans="1:9" ht="15" hidden="1" customHeight="1" x14ac:dyDescent="0.2">
      <c r="A856" s="3" t="s">
        <v>285</v>
      </c>
      <c r="B856" s="5">
        <v>45225</v>
      </c>
      <c r="C856" s="3">
        <v>0.66666666666666663</v>
      </c>
      <c r="D856" s="5">
        <v>45225</v>
      </c>
      <c r="E856" s="3">
        <v>0.70833333333333326</v>
      </c>
      <c r="F856" t="b">
        <v>0</v>
      </c>
      <c r="G856" s="3" t="s">
        <v>286</v>
      </c>
      <c r="H856" s="3" t="s">
        <v>243</v>
      </c>
      <c r="I856" t="b">
        <v>0</v>
      </c>
    </row>
    <row r="857" spans="1:9" ht="15" hidden="1" customHeight="1" x14ac:dyDescent="0.2">
      <c r="A857" s="3" t="s">
        <v>285</v>
      </c>
      <c r="B857" s="5">
        <v>45230</v>
      </c>
      <c r="C857" s="3">
        <v>0.70833333333333337</v>
      </c>
      <c r="D857" s="5">
        <v>45230</v>
      </c>
      <c r="E857" s="3">
        <v>0.75</v>
      </c>
      <c r="F857" t="b">
        <v>0</v>
      </c>
      <c r="G857" s="3" t="s">
        <v>286</v>
      </c>
      <c r="H857" s="3" t="s">
        <v>243</v>
      </c>
      <c r="I857" t="b">
        <v>0</v>
      </c>
    </row>
    <row r="858" spans="1:9" ht="15" hidden="1" customHeight="1" x14ac:dyDescent="0.2">
      <c r="A858" s="3" t="s">
        <v>285</v>
      </c>
      <c r="B858" s="5">
        <v>45231</v>
      </c>
      <c r="C858" s="3">
        <v>0.625</v>
      </c>
      <c r="D858" s="5">
        <v>45231</v>
      </c>
      <c r="E858" s="3">
        <v>0.66666666666666663</v>
      </c>
      <c r="F858" t="b">
        <v>0</v>
      </c>
      <c r="G858" s="3" t="s">
        <v>286</v>
      </c>
      <c r="H858" s="3" t="s">
        <v>243</v>
      </c>
      <c r="I858" t="b">
        <v>0</v>
      </c>
    </row>
    <row r="859" spans="1:9" ht="15" hidden="1" customHeight="1" x14ac:dyDescent="0.2">
      <c r="A859" s="3" t="s">
        <v>285</v>
      </c>
      <c r="B859" s="5">
        <v>45232</v>
      </c>
      <c r="C859" s="3">
        <v>0.66666666666666663</v>
      </c>
      <c r="D859" s="5">
        <v>45232</v>
      </c>
      <c r="E859" s="3">
        <v>0.70833333333333326</v>
      </c>
      <c r="F859" t="b">
        <v>0</v>
      </c>
      <c r="G859" s="3" t="s">
        <v>286</v>
      </c>
      <c r="H859" s="3" t="s">
        <v>243</v>
      </c>
      <c r="I859" t="b">
        <v>0</v>
      </c>
    </row>
    <row r="860" spans="1:9" ht="15" hidden="1" customHeight="1" x14ac:dyDescent="0.2">
      <c r="A860" s="3" t="s">
        <v>285</v>
      </c>
      <c r="B860" s="5">
        <v>45237</v>
      </c>
      <c r="C860" s="3">
        <v>0.70833333333333337</v>
      </c>
      <c r="D860" s="5">
        <v>45237</v>
      </c>
      <c r="E860" s="3">
        <v>0.75</v>
      </c>
      <c r="F860" t="b">
        <v>0</v>
      </c>
      <c r="G860" s="3" t="s">
        <v>286</v>
      </c>
      <c r="H860" s="3" t="s">
        <v>243</v>
      </c>
      <c r="I860" t="b">
        <v>0</v>
      </c>
    </row>
    <row r="861" spans="1:9" ht="15" hidden="1" customHeight="1" x14ac:dyDescent="0.2">
      <c r="A861" s="3" t="s">
        <v>285</v>
      </c>
      <c r="B861" s="5">
        <v>45238</v>
      </c>
      <c r="C861" s="3">
        <v>0.625</v>
      </c>
      <c r="D861" s="5">
        <v>45238</v>
      </c>
      <c r="E861" s="3">
        <v>0.66666666666666663</v>
      </c>
      <c r="F861" t="b">
        <v>0</v>
      </c>
      <c r="G861" s="3" t="s">
        <v>286</v>
      </c>
      <c r="H861" s="3" t="s">
        <v>243</v>
      </c>
      <c r="I861" t="b">
        <v>0</v>
      </c>
    </row>
    <row r="862" spans="1:9" ht="15" hidden="1" customHeight="1" x14ac:dyDescent="0.2">
      <c r="A862" s="3" t="s">
        <v>285</v>
      </c>
      <c r="B862" s="5">
        <v>45239</v>
      </c>
      <c r="C862" s="3">
        <v>0.66666666666666663</v>
      </c>
      <c r="D862" s="5">
        <v>45239</v>
      </c>
      <c r="E862" s="3">
        <v>0.70833333333333326</v>
      </c>
      <c r="F862" t="b">
        <v>0</v>
      </c>
      <c r="G862" s="3" t="s">
        <v>286</v>
      </c>
      <c r="H862" s="3" t="s">
        <v>243</v>
      </c>
      <c r="I862" t="b">
        <v>0</v>
      </c>
    </row>
    <row r="863" spans="1:9" ht="15" hidden="1" customHeight="1" x14ac:dyDescent="0.2">
      <c r="A863" s="6" t="s">
        <v>277</v>
      </c>
      <c r="B863" s="10">
        <v>45195</v>
      </c>
      <c r="C863" s="3">
        <v>0.625</v>
      </c>
      <c r="D863" s="5">
        <v>45195</v>
      </c>
      <c r="E863" s="3">
        <v>0.66666666666666663</v>
      </c>
      <c r="F863" t="b">
        <v>0</v>
      </c>
      <c r="G863" s="7" t="s">
        <v>278</v>
      </c>
      <c r="H863" t="s">
        <v>242</v>
      </c>
      <c r="I863" t="b">
        <v>0</v>
      </c>
    </row>
    <row r="864" spans="1:9" ht="15" hidden="1" customHeight="1" x14ac:dyDescent="0.2">
      <c r="A864" s="6" t="s">
        <v>277</v>
      </c>
      <c r="B864" s="5">
        <v>45196</v>
      </c>
      <c r="C864" s="3">
        <v>0.58333333333333337</v>
      </c>
      <c r="D864" s="5">
        <v>45196</v>
      </c>
      <c r="E864" s="3">
        <v>0.625</v>
      </c>
      <c r="F864" t="b">
        <v>0</v>
      </c>
      <c r="G864" s="8" t="s">
        <v>278</v>
      </c>
      <c r="H864" t="s">
        <v>242</v>
      </c>
      <c r="I864" t="b">
        <v>0</v>
      </c>
    </row>
    <row r="865" spans="1:9" ht="15" hidden="1" customHeight="1" x14ac:dyDescent="0.2">
      <c r="A865" s="6" t="s">
        <v>277</v>
      </c>
      <c r="B865" s="5">
        <v>45197</v>
      </c>
      <c r="C865" s="3">
        <v>0.70833333333333337</v>
      </c>
      <c r="D865" s="5">
        <v>45197</v>
      </c>
      <c r="E865" s="3">
        <v>0.75</v>
      </c>
      <c r="F865" t="b">
        <v>0</v>
      </c>
      <c r="G865" s="8" t="s">
        <v>278</v>
      </c>
      <c r="H865" t="s">
        <v>242</v>
      </c>
      <c r="I865" t="b">
        <v>0</v>
      </c>
    </row>
    <row r="866" spans="1:9" ht="15" hidden="1" customHeight="1" x14ac:dyDescent="0.2">
      <c r="A866" s="3" t="s">
        <v>277</v>
      </c>
      <c r="B866" s="5">
        <v>45202</v>
      </c>
      <c r="C866" s="3">
        <v>0.625</v>
      </c>
      <c r="D866" s="5">
        <v>45202</v>
      </c>
      <c r="E866" s="3">
        <v>0.66666666666666663</v>
      </c>
      <c r="F866" t="b">
        <v>0</v>
      </c>
      <c r="G866" s="3" t="s">
        <v>278</v>
      </c>
      <c r="H866" s="3" t="s">
        <v>242</v>
      </c>
      <c r="I866" t="b">
        <v>0</v>
      </c>
    </row>
    <row r="867" spans="1:9" ht="15" hidden="1" customHeight="1" x14ac:dyDescent="0.2">
      <c r="A867" s="3" t="s">
        <v>277</v>
      </c>
      <c r="B867" s="5">
        <v>45203</v>
      </c>
      <c r="C867" s="3">
        <v>0.58333333333333337</v>
      </c>
      <c r="D867" s="5">
        <v>45203</v>
      </c>
      <c r="E867" s="3">
        <v>0.625</v>
      </c>
      <c r="F867" t="b">
        <v>0</v>
      </c>
      <c r="G867" s="3" t="s">
        <v>278</v>
      </c>
      <c r="H867" s="3" t="s">
        <v>242</v>
      </c>
      <c r="I867" t="b">
        <v>0</v>
      </c>
    </row>
    <row r="868" spans="1:9" ht="15" hidden="1" customHeight="1" x14ac:dyDescent="0.2">
      <c r="A868" s="3" t="s">
        <v>277</v>
      </c>
      <c r="B868" s="5">
        <v>45204</v>
      </c>
      <c r="C868" s="3">
        <v>0.70833333333333337</v>
      </c>
      <c r="D868" s="5">
        <v>45204</v>
      </c>
      <c r="E868" s="3">
        <v>0.75</v>
      </c>
      <c r="F868" t="b">
        <v>0</v>
      </c>
      <c r="G868" s="3" t="s">
        <v>278</v>
      </c>
      <c r="H868" s="3" t="s">
        <v>242</v>
      </c>
      <c r="I868" t="b">
        <v>0</v>
      </c>
    </row>
    <row r="869" spans="1:9" ht="15" hidden="1" customHeight="1" x14ac:dyDescent="0.2">
      <c r="A869" s="3" t="s">
        <v>277</v>
      </c>
      <c r="B869" s="5">
        <v>45209</v>
      </c>
      <c r="C869" s="3">
        <v>0.625</v>
      </c>
      <c r="D869" s="5">
        <v>45209</v>
      </c>
      <c r="E869" s="3">
        <v>0.66666666666666663</v>
      </c>
      <c r="F869" t="b">
        <v>0</v>
      </c>
      <c r="G869" s="3" t="s">
        <v>278</v>
      </c>
      <c r="H869" s="3" t="s">
        <v>242</v>
      </c>
      <c r="I869" t="b">
        <v>0</v>
      </c>
    </row>
    <row r="870" spans="1:9" ht="15" hidden="1" customHeight="1" x14ac:dyDescent="0.2">
      <c r="A870" s="3" t="s">
        <v>277</v>
      </c>
      <c r="B870" s="5">
        <v>45210</v>
      </c>
      <c r="C870" s="3">
        <v>0.58333333333333337</v>
      </c>
      <c r="D870" s="5">
        <v>45210</v>
      </c>
      <c r="E870" s="3">
        <v>0.625</v>
      </c>
      <c r="F870" t="b">
        <v>0</v>
      </c>
      <c r="G870" s="3" t="s">
        <v>278</v>
      </c>
      <c r="H870" s="3" t="s">
        <v>242</v>
      </c>
      <c r="I870" t="b">
        <v>0</v>
      </c>
    </row>
    <row r="871" spans="1:9" ht="15" hidden="1" customHeight="1" x14ac:dyDescent="0.2">
      <c r="A871" s="3" t="s">
        <v>277</v>
      </c>
      <c r="B871" s="5">
        <v>45211</v>
      </c>
      <c r="C871" s="3">
        <v>0.70833333333333337</v>
      </c>
      <c r="D871" s="5">
        <v>45211</v>
      </c>
      <c r="E871" s="3">
        <v>0.75</v>
      </c>
      <c r="F871" t="b">
        <v>0</v>
      </c>
      <c r="G871" s="3" t="s">
        <v>278</v>
      </c>
      <c r="H871" s="3" t="s">
        <v>242</v>
      </c>
      <c r="I871" t="b">
        <v>0</v>
      </c>
    </row>
    <row r="872" spans="1:9" ht="15" hidden="1" customHeight="1" x14ac:dyDescent="0.2">
      <c r="A872" s="3" t="s">
        <v>277</v>
      </c>
      <c r="B872" s="5">
        <v>45216</v>
      </c>
      <c r="C872" s="3">
        <v>0.625</v>
      </c>
      <c r="D872" s="5">
        <v>45216</v>
      </c>
      <c r="E872" s="3">
        <v>0.66666666666666663</v>
      </c>
      <c r="F872" t="b">
        <v>0</v>
      </c>
      <c r="G872" s="3" t="s">
        <v>278</v>
      </c>
      <c r="H872" s="3" t="s">
        <v>242</v>
      </c>
      <c r="I872" t="b">
        <v>0</v>
      </c>
    </row>
    <row r="873" spans="1:9" ht="15" hidden="1" customHeight="1" x14ac:dyDescent="0.2">
      <c r="A873" s="3" t="s">
        <v>277</v>
      </c>
      <c r="B873" s="5">
        <v>45217</v>
      </c>
      <c r="C873" s="3">
        <v>0.58333333333333337</v>
      </c>
      <c r="D873" s="5">
        <v>45217</v>
      </c>
      <c r="E873" s="3">
        <v>0.625</v>
      </c>
      <c r="F873" t="b">
        <v>0</v>
      </c>
      <c r="G873" s="3" t="s">
        <v>278</v>
      </c>
      <c r="H873" s="3" t="s">
        <v>242</v>
      </c>
      <c r="I873" t="b">
        <v>0</v>
      </c>
    </row>
    <row r="874" spans="1:9" ht="15" hidden="1" customHeight="1" x14ac:dyDescent="0.2">
      <c r="A874" s="3" t="s">
        <v>277</v>
      </c>
      <c r="B874" s="5">
        <v>45218</v>
      </c>
      <c r="C874" s="3">
        <v>0.70833333333333337</v>
      </c>
      <c r="D874" s="5">
        <v>45218</v>
      </c>
      <c r="E874" s="3">
        <v>0.75</v>
      </c>
      <c r="F874" t="b">
        <v>0</v>
      </c>
      <c r="G874" s="3" t="s">
        <v>278</v>
      </c>
      <c r="H874" s="3" t="s">
        <v>242</v>
      </c>
      <c r="I874" t="b">
        <v>0</v>
      </c>
    </row>
    <row r="875" spans="1:9" ht="15" hidden="1" customHeight="1" x14ac:dyDescent="0.2">
      <c r="A875" s="3" t="s">
        <v>277</v>
      </c>
      <c r="B875" s="5">
        <v>45223</v>
      </c>
      <c r="C875" s="3">
        <v>0.625</v>
      </c>
      <c r="D875" s="5">
        <v>45223</v>
      </c>
      <c r="E875" s="3">
        <v>0.66666666666666663</v>
      </c>
      <c r="F875" t="b">
        <v>0</v>
      </c>
      <c r="G875" s="3" t="s">
        <v>278</v>
      </c>
      <c r="H875" s="3" t="s">
        <v>242</v>
      </c>
      <c r="I875" t="b">
        <v>0</v>
      </c>
    </row>
    <row r="876" spans="1:9" ht="15" hidden="1" customHeight="1" x14ac:dyDescent="0.2">
      <c r="A876" s="3" t="s">
        <v>277</v>
      </c>
      <c r="B876" s="5">
        <v>45224</v>
      </c>
      <c r="C876" s="3">
        <v>0.58333333333333337</v>
      </c>
      <c r="D876" s="5">
        <v>45224</v>
      </c>
      <c r="E876" s="3">
        <v>0.625</v>
      </c>
      <c r="F876" t="b">
        <v>0</v>
      </c>
      <c r="G876" s="3" t="s">
        <v>278</v>
      </c>
      <c r="H876" s="3" t="s">
        <v>242</v>
      </c>
      <c r="I876" t="b">
        <v>0</v>
      </c>
    </row>
    <row r="877" spans="1:9" ht="15" hidden="1" customHeight="1" x14ac:dyDescent="0.2">
      <c r="A877" s="3" t="s">
        <v>277</v>
      </c>
      <c r="B877" s="5">
        <v>45225</v>
      </c>
      <c r="C877" s="3">
        <v>0.70833333333333337</v>
      </c>
      <c r="D877" s="5">
        <v>45225</v>
      </c>
      <c r="E877" s="3">
        <v>0.75</v>
      </c>
      <c r="F877" t="b">
        <v>0</v>
      </c>
      <c r="G877" s="3" t="s">
        <v>278</v>
      </c>
      <c r="H877" s="3" t="s">
        <v>242</v>
      </c>
      <c r="I877" t="b">
        <v>0</v>
      </c>
    </row>
    <row r="878" spans="1:9" ht="15" hidden="1" customHeight="1" x14ac:dyDescent="0.2">
      <c r="A878" s="3" t="s">
        <v>277</v>
      </c>
      <c r="B878" s="5">
        <v>45230</v>
      </c>
      <c r="C878" s="3">
        <v>0.625</v>
      </c>
      <c r="D878" s="5">
        <v>45230</v>
      </c>
      <c r="E878" s="3">
        <v>0.66666666666666663</v>
      </c>
      <c r="F878" t="b">
        <v>0</v>
      </c>
      <c r="G878" s="3" t="s">
        <v>278</v>
      </c>
      <c r="H878" s="3" t="s">
        <v>242</v>
      </c>
      <c r="I878" t="b">
        <v>0</v>
      </c>
    </row>
    <row r="879" spans="1:9" ht="15" hidden="1" customHeight="1" x14ac:dyDescent="0.2">
      <c r="A879" s="3" t="s">
        <v>277</v>
      </c>
      <c r="B879" s="5">
        <v>45231</v>
      </c>
      <c r="C879" s="3">
        <v>0.58333333333333337</v>
      </c>
      <c r="D879" s="5">
        <v>45231</v>
      </c>
      <c r="E879" s="3">
        <v>0.625</v>
      </c>
      <c r="F879" t="b">
        <v>0</v>
      </c>
      <c r="G879" s="3" t="s">
        <v>278</v>
      </c>
      <c r="H879" s="3" t="s">
        <v>242</v>
      </c>
      <c r="I879" t="b">
        <v>0</v>
      </c>
    </row>
    <row r="880" spans="1:9" ht="15" hidden="1" customHeight="1" x14ac:dyDescent="0.2">
      <c r="A880" s="3" t="s">
        <v>277</v>
      </c>
      <c r="B880" s="5">
        <v>45232</v>
      </c>
      <c r="C880" s="3">
        <v>0.70833333333333337</v>
      </c>
      <c r="D880" s="5">
        <v>45232</v>
      </c>
      <c r="E880" s="3">
        <v>0.75</v>
      </c>
      <c r="F880" t="b">
        <v>0</v>
      </c>
      <c r="G880" s="3" t="s">
        <v>278</v>
      </c>
      <c r="H880" s="3" t="s">
        <v>242</v>
      </c>
      <c r="I880" t="b">
        <v>0</v>
      </c>
    </row>
    <row r="881" spans="1:9" ht="15" hidden="1" customHeight="1" x14ac:dyDescent="0.2">
      <c r="A881" s="3" t="s">
        <v>277</v>
      </c>
      <c r="B881" s="5">
        <v>45237</v>
      </c>
      <c r="C881" s="3">
        <v>0.625</v>
      </c>
      <c r="D881" s="5">
        <v>45237</v>
      </c>
      <c r="E881" s="3">
        <v>0.66666666666666663</v>
      </c>
      <c r="F881" t="b">
        <v>0</v>
      </c>
      <c r="G881" s="3" t="s">
        <v>278</v>
      </c>
      <c r="H881" s="3" t="s">
        <v>242</v>
      </c>
      <c r="I881" t="b">
        <v>0</v>
      </c>
    </row>
    <row r="882" spans="1:9" ht="15" hidden="1" customHeight="1" x14ac:dyDescent="0.2">
      <c r="A882" s="3" t="s">
        <v>277</v>
      </c>
      <c r="B882" s="5">
        <v>45238</v>
      </c>
      <c r="C882" s="3">
        <v>0.58333333333333337</v>
      </c>
      <c r="D882" s="5">
        <v>45238</v>
      </c>
      <c r="E882" s="3">
        <v>0.625</v>
      </c>
      <c r="F882" t="b">
        <v>0</v>
      </c>
      <c r="G882" s="3" t="s">
        <v>278</v>
      </c>
      <c r="H882" s="3" t="s">
        <v>242</v>
      </c>
      <c r="I882" t="b">
        <v>0</v>
      </c>
    </row>
    <row r="883" spans="1:9" ht="15" hidden="1" customHeight="1" x14ac:dyDescent="0.2">
      <c r="A883" s="3" t="s">
        <v>277</v>
      </c>
      <c r="B883" s="5">
        <v>45239</v>
      </c>
      <c r="C883" s="3">
        <v>0.70833333333333337</v>
      </c>
      <c r="D883" s="5">
        <v>45239</v>
      </c>
      <c r="E883" s="3">
        <v>0.75</v>
      </c>
      <c r="F883" t="b">
        <v>0</v>
      </c>
      <c r="G883" s="3" t="s">
        <v>278</v>
      </c>
      <c r="H883" s="3" t="s">
        <v>242</v>
      </c>
      <c r="I883" t="b">
        <v>0</v>
      </c>
    </row>
    <row r="884" spans="1:9" ht="15" hidden="1" customHeight="1" x14ac:dyDescent="0.2">
      <c r="A884" t="s">
        <v>204</v>
      </c>
      <c r="B884" s="5">
        <v>45194</v>
      </c>
      <c r="C884" s="3">
        <v>0.4375</v>
      </c>
      <c r="D884" s="5">
        <v>45194</v>
      </c>
      <c r="E884" s="3">
        <v>0.47916666666666669</v>
      </c>
      <c r="F884" t="b">
        <v>0</v>
      </c>
      <c r="G884" s="4" t="s">
        <v>205</v>
      </c>
      <c r="H884" t="s">
        <v>243</v>
      </c>
      <c r="I884" t="b">
        <v>0</v>
      </c>
    </row>
    <row r="885" spans="1:9" ht="15" hidden="1" customHeight="1" x14ac:dyDescent="0.2">
      <c r="A885" s="6" t="s">
        <v>296</v>
      </c>
      <c r="B885" s="5">
        <v>45196</v>
      </c>
      <c r="C885" s="3">
        <v>0.35416666666666669</v>
      </c>
      <c r="D885" s="5">
        <v>45196</v>
      </c>
      <c r="E885" s="3">
        <v>0.39583333333333337</v>
      </c>
      <c r="F885" t="b">
        <v>0</v>
      </c>
      <c r="G885" s="8" t="s">
        <v>297</v>
      </c>
      <c r="H885" t="s">
        <v>233</v>
      </c>
      <c r="I885" t="b">
        <v>0</v>
      </c>
    </row>
    <row r="886" spans="1:9" ht="15" hidden="1" customHeight="1" x14ac:dyDescent="0.2">
      <c r="A886" s="6" t="s">
        <v>296</v>
      </c>
      <c r="B886" s="5">
        <v>45197</v>
      </c>
      <c r="C886" s="3">
        <v>0.4375</v>
      </c>
      <c r="D886" s="5">
        <v>45197</v>
      </c>
      <c r="E886" s="3">
        <v>0.47916666666666669</v>
      </c>
      <c r="F886" t="b">
        <v>0</v>
      </c>
      <c r="G886" s="8" t="s">
        <v>297</v>
      </c>
      <c r="H886" t="s">
        <v>233</v>
      </c>
      <c r="I886" t="b">
        <v>0</v>
      </c>
    </row>
    <row r="887" spans="1:9" ht="15" hidden="1" customHeight="1" x14ac:dyDescent="0.2">
      <c r="A887" s="3" t="s">
        <v>296</v>
      </c>
      <c r="B887" s="5">
        <v>45201</v>
      </c>
      <c r="C887" s="3">
        <v>0.66666666666666663</v>
      </c>
      <c r="D887" s="5">
        <v>45201</v>
      </c>
      <c r="E887" s="3">
        <v>0.70833333333333326</v>
      </c>
      <c r="F887" t="b">
        <v>0</v>
      </c>
      <c r="G887" s="3" t="s">
        <v>297</v>
      </c>
      <c r="H887" s="3" t="s">
        <v>233</v>
      </c>
      <c r="I887" t="b">
        <v>0</v>
      </c>
    </row>
    <row r="888" spans="1:9" ht="15" hidden="1" customHeight="1" x14ac:dyDescent="0.2">
      <c r="A888" s="3" t="s">
        <v>296</v>
      </c>
      <c r="B888" s="5">
        <v>45203</v>
      </c>
      <c r="C888" s="3">
        <v>0.35416666666666669</v>
      </c>
      <c r="D888" s="5">
        <v>45203</v>
      </c>
      <c r="E888" s="3">
        <v>0.39583333333333337</v>
      </c>
      <c r="F888" t="b">
        <v>0</v>
      </c>
      <c r="G888" s="3" t="s">
        <v>297</v>
      </c>
      <c r="H888" s="3" t="s">
        <v>233</v>
      </c>
      <c r="I888" t="b">
        <v>0</v>
      </c>
    </row>
    <row r="889" spans="1:9" ht="15" hidden="1" customHeight="1" x14ac:dyDescent="0.2">
      <c r="A889" s="3" t="s">
        <v>296</v>
      </c>
      <c r="B889" s="5">
        <v>45204</v>
      </c>
      <c r="C889" s="3">
        <v>0.4375</v>
      </c>
      <c r="D889" s="5">
        <v>45204</v>
      </c>
      <c r="E889" s="3">
        <v>0.47916666666666669</v>
      </c>
      <c r="F889" t="b">
        <v>0</v>
      </c>
      <c r="G889" s="3" t="s">
        <v>297</v>
      </c>
      <c r="H889" s="3" t="s">
        <v>233</v>
      </c>
      <c r="I889" t="b">
        <v>0</v>
      </c>
    </row>
    <row r="890" spans="1:9" ht="15" hidden="1" customHeight="1" x14ac:dyDescent="0.2">
      <c r="A890" s="3" t="s">
        <v>296</v>
      </c>
      <c r="B890" s="5">
        <v>45208</v>
      </c>
      <c r="C890" s="3">
        <v>0.66666666666666663</v>
      </c>
      <c r="D890" s="5">
        <v>45208</v>
      </c>
      <c r="E890" s="3">
        <v>0.70833333333333326</v>
      </c>
      <c r="F890" t="b">
        <v>0</v>
      </c>
      <c r="G890" s="3" t="s">
        <v>297</v>
      </c>
      <c r="H890" s="3" t="s">
        <v>233</v>
      </c>
      <c r="I890" t="b">
        <v>0</v>
      </c>
    </row>
    <row r="891" spans="1:9" ht="15" hidden="1" customHeight="1" x14ac:dyDescent="0.2">
      <c r="A891" s="3" t="s">
        <v>296</v>
      </c>
      <c r="B891" s="5">
        <v>45210</v>
      </c>
      <c r="C891" s="3">
        <v>0.35416666666666669</v>
      </c>
      <c r="D891" s="5">
        <v>45210</v>
      </c>
      <c r="E891" s="3">
        <v>0.39583333333333337</v>
      </c>
      <c r="F891" t="b">
        <v>0</v>
      </c>
      <c r="G891" s="3" t="s">
        <v>297</v>
      </c>
      <c r="H891" s="3" t="s">
        <v>233</v>
      </c>
      <c r="I891" t="b">
        <v>0</v>
      </c>
    </row>
    <row r="892" spans="1:9" ht="15" hidden="1" customHeight="1" x14ac:dyDescent="0.2">
      <c r="A892" s="3" t="s">
        <v>296</v>
      </c>
      <c r="B892" s="5">
        <v>45211</v>
      </c>
      <c r="C892" s="3">
        <v>0.4375</v>
      </c>
      <c r="D892" s="5">
        <v>45211</v>
      </c>
      <c r="E892" s="3">
        <v>0.47916666666666669</v>
      </c>
      <c r="F892" t="b">
        <v>0</v>
      </c>
      <c r="G892" s="3" t="s">
        <v>297</v>
      </c>
      <c r="H892" s="3" t="s">
        <v>233</v>
      </c>
      <c r="I892" t="b">
        <v>0</v>
      </c>
    </row>
    <row r="893" spans="1:9" ht="15" hidden="1" customHeight="1" x14ac:dyDescent="0.2">
      <c r="A893" s="3" t="s">
        <v>296</v>
      </c>
      <c r="B893" s="5">
        <v>45215</v>
      </c>
      <c r="C893" s="3">
        <v>0.66666666666666663</v>
      </c>
      <c r="D893" s="5">
        <v>45215</v>
      </c>
      <c r="E893" s="3">
        <v>0.70833333333333326</v>
      </c>
      <c r="F893" t="b">
        <v>0</v>
      </c>
      <c r="G893" s="3" t="s">
        <v>297</v>
      </c>
      <c r="H893" s="3" t="s">
        <v>233</v>
      </c>
      <c r="I893" t="b">
        <v>0</v>
      </c>
    </row>
    <row r="894" spans="1:9" ht="15" hidden="1" customHeight="1" x14ac:dyDescent="0.2">
      <c r="A894" s="3" t="s">
        <v>296</v>
      </c>
      <c r="B894" s="5">
        <v>45217</v>
      </c>
      <c r="C894" s="3">
        <v>0.35416666666666669</v>
      </c>
      <c r="D894" s="5">
        <v>45217</v>
      </c>
      <c r="E894" s="3">
        <v>0.39583333333333337</v>
      </c>
      <c r="F894" t="b">
        <v>0</v>
      </c>
      <c r="G894" s="3" t="s">
        <v>297</v>
      </c>
      <c r="H894" s="3" t="s">
        <v>233</v>
      </c>
      <c r="I894" t="b">
        <v>0</v>
      </c>
    </row>
    <row r="895" spans="1:9" ht="15" hidden="1" customHeight="1" x14ac:dyDescent="0.2">
      <c r="A895" s="3" t="s">
        <v>296</v>
      </c>
      <c r="B895" s="5">
        <v>45218</v>
      </c>
      <c r="C895" s="3">
        <v>0.4375</v>
      </c>
      <c r="D895" s="5">
        <v>45218</v>
      </c>
      <c r="E895" s="3">
        <v>0.47916666666666669</v>
      </c>
      <c r="F895" t="b">
        <v>0</v>
      </c>
      <c r="G895" s="3" t="s">
        <v>297</v>
      </c>
      <c r="H895" s="3" t="s">
        <v>233</v>
      </c>
      <c r="I895" t="b">
        <v>0</v>
      </c>
    </row>
    <row r="896" spans="1:9" ht="15" hidden="1" customHeight="1" x14ac:dyDescent="0.2">
      <c r="A896" s="3" t="s">
        <v>296</v>
      </c>
      <c r="B896" s="5">
        <v>45222</v>
      </c>
      <c r="C896" s="3">
        <v>0.66666666666666663</v>
      </c>
      <c r="D896" s="5">
        <v>45222</v>
      </c>
      <c r="E896" s="3">
        <v>0.70833333333333326</v>
      </c>
      <c r="F896" t="b">
        <v>0</v>
      </c>
      <c r="G896" s="3" t="s">
        <v>297</v>
      </c>
      <c r="H896" s="3" t="s">
        <v>233</v>
      </c>
      <c r="I896" t="b">
        <v>0</v>
      </c>
    </row>
    <row r="897" spans="1:9" ht="15" hidden="1" customHeight="1" x14ac:dyDescent="0.2">
      <c r="A897" s="3" t="s">
        <v>296</v>
      </c>
      <c r="B897" s="5">
        <v>45224</v>
      </c>
      <c r="C897" s="3">
        <v>0.35416666666666669</v>
      </c>
      <c r="D897" s="5">
        <v>45224</v>
      </c>
      <c r="E897" s="3">
        <v>0.39583333333333337</v>
      </c>
      <c r="F897" t="b">
        <v>0</v>
      </c>
      <c r="G897" s="3" t="s">
        <v>297</v>
      </c>
      <c r="H897" s="3" t="s">
        <v>233</v>
      </c>
      <c r="I897" t="b">
        <v>0</v>
      </c>
    </row>
    <row r="898" spans="1:9" ht="15" hidden="1" customHeight="1" x14ac:dyDescent="0.2">
      <c r="A898" s="3" t="s">
        <v>296</v>
      </c>
      <c r="B898" s="5">
        <v>45225</v>
      </c>
      <c r="C898" s="3">
        <v>0.4375</v>
      </c>
      <c r="D898" s="5">
        <v>45225</v>
      </c>
      <c r="E898" s="3">
        <v>0.47916666666666669</v>
      </c>
      <c r="F898" t="b">
        <v>0</v>
      </c>
      <c r="G898" s="3" t="s">
        <v>297</v>
      </c>
      <c r="H898" s="3" t="s">
        <v>233</v>
      </c>
      <c r="I898" t="b">
        <v>0</v>
      </c>
    </row>
    <row r="899" spans="1:9" ht="15" hidden="1" customHeight="1" x14ac:dyDescent="0.2">
      <c r="A899" s="3" t="s">
        <v>296</v>
      </c>
      <c r="B899" s="5">
        <v>45229</v>
      </c>
      <c r="C899" s="3">
        <v>0.66666666666666663</v>
      </c>
      <c r="D899" s="5">
        <v>45229</v>
      </c>
      <c r="E899" s="3">
        <v>0.70833333333333326</v>
      </c>
      <c r="F899" t="b">
        <v>0</v>
      </c>
      <c r="G899" s="3" t="s">
        <v>297</v>
      </c>
      <c r="H899" s="3" t="s">
        <v>233</v>
      </c>
      <c r="I899" t="b">
        <v>0</v>
      </c>
    </row>
    <row r="900" spans="1:9" ht="15" hidden="1" customHeight="1" x14ac:dyDescent="0.2">
      <c r="A900" s="3" t="s">
        <v>296</v>
      </c>
      <c r="B900" s="5">
        <v>45231</v>
      </c>
      <c r="C900" s="3">
        <v>0.35416666666666669</v>
      </c>
      <c r="D900" s="5">
        <v>45231</v>
      </c>
      <c r="E900" s="3">
        <v>0.39583333333333337</v>
      </c>
      <c r="F900" t="b">
        <v>0</v>
      </c>
      <c r="G900" s="3" t="s">
        <v>297</v>
      </c>
      <c r="H900" s="3" t="s">
        <v>233</v>
      </c>
      <c r="I900" t="b">
        <v>0</v>
      </c>
    </row>
    <row r="901" spans="1:9" ht="15" hidden="1" customHeight="1" x14ac:dyDescent="0.2">
      <c r="A901" s="3" t="s">
        <v>296</v>
      </c>
      <c r="B901" s="5">
        <v>45232</v>
      </c>
      <c r="C901" s="3">
        <v>0.4375</v>
      </c>
      <c r="D901" s="5">
        <v>45232</v>
      </c>
      <c r="E901" s="3">
        <v>0.47916666666666669</v>
      </c>
      <c r="F901" t="b">
        <v>0</v>
      </c>
      <c r="G901" s="3" t="s">
        <v>297</v>
      </c>
      <c r="H901" s="3" t="s">
        <v>233</v>
      </c>
      <c r="I901" t="b">
        <v>0</v>
      </c>
    </row>
    <row r="902" spans="1:9" ht="15" hidden="1" customHeight="1" x14ac:dyDescent="0.2">
      <c r="A902" s="3" t="s">
        <v>296</v>
      </c>
      <c r="B902" s="5">
        <v>45236</v>
      </c>
      <c r="C902" s="3">
        <v>0.66666666666666663</v>
      </c>
      <c r="D902" s="5">
        <v>45236</v>
      </c>
      <c r="E902" s="3">
        <v>0.70833333333333326</v>
      </c>
      <c r="F902" t="b">
        <v>0</v>
      </c>
      <c r="G902" s="3" t="s">
        <v>297</v>
      </c>
      <c r="H902" s="3" t="s">
        <v>233</v>
      </c>
      <c r="I902" t="b">
        <v>0</v>
      </c>
    </row>
    <row r="903" spans="1:9" ht="15" hidden="1" customHeight="1" x14ac:dyDescent="0.2">
      <c r="A903" s="3" t="s">
        <v>296</v>
      </c>
      <c r="B903" s="5">
        <v>45238</v>
      </c>
      <c r="C903" s="3">
        <v>0.35416666666666669</v>
      </c>
      <c r="D903" s="5">
        <v>45238</v>
      </c>
      <c r="E903" s="3">
        <v>0.39583333333333337</v>
      </c>
      <c r="F903" t="b">
        <v>0</v>
      </c>
      <c r="G903" s="3" t="s">
        <v>297</v>
      </c>
      <c r="H903" s="3" t="s">
        <v>233</v>
      </c>
      <c r="I903" t="b">
        <v>0</v>
      </c>
    </row>
    <row r="904" spans="1:9" ht="15" hidden="1" customHeight="1" x14ac:dyDescent="0.2">
      <c r="A904" s="3" t="s">
        <v>296</v>
      </c>
      <c r="B904" s="5">
        <v>45239</v>
      </c>
      <c r="C904" s="3">
        <v>0.4375</v>
      </c>
      <c r="D904" s="5">
        <v>45239</v>
      </c>
      <c r="E904" s="3">
        <v>0.47916666666666669</v>
      </c>
      <c r="F904" t="b">
        <v>0</v>
      </c>
      <c r="G904" s="3" t="s">
        <v>297</v>
      </c>
      <c r="H904" s="3" t="s">
        <v>233</v>
      </c>
      <c r="I904" t="b">
        <v>0</v>
      </c>
    </row>
    <row r="905" spans="1:9" ht="15" hidden="1" customHeight="1" x14ac:dyDescent="0.2">
      <c r="A905" s="3" t="s">
        <v>307</v>
      </c>
      <c r="B905" s="5">
        <v>45195</v>
      </c>
      <c r="C905" s="3">
        <v>0.625</v>
      </c>
      <c r="D905" s="5">
        <v>45195</v>
      </c>
      <c r="E905" s="3">
        <v>0.66666666666666663</v>
      </c>
      <c r="F905" t="b">
        <v>0</v>
      </c>
      <c r="G905" s="5" t="s">
        <v>308</v>
      </c>
      <c r="H905" t="s">
        <v>293</v>
      </c>
      <c r="I905" t="b">
        <v>0</v>
      </c>
    </row>
    <row r="906" spans="1:9" ht="15" hidden="1" customHeight="1" x14ac:dyDescent="0.2">
      <c r="A906" s="3" t="s">
        <v>307</v>
      </c>
      <c r="B906" s="5">
        <v>45196</v>
      </c>
      <c r="C906" s="3">
        <v>0.58333333333333337</v>
      </c>
      <c r="D906" s="5">
        <v>45196</v>
      </c>
      <c r="E906" s="3">
        <v>0.625</v>
      </c>
      <c r="F906" t="b">
        <v>0</v>
      </c>
      <c r="G906" s="11" t="s">
        <v>308</v>
      </c>
      <c r="H906" s="3" t="s">
        <v>293</v>
      </c>
      <c r="I906" t="b">
        <v>0</v>
      </c>
    </row>
    <row r="907" spans="1:9" ht="15" hidden="1" customHeight="1" x14ac:dyDescent="0.2">
      <c r="A907" s="3" t="s">
        <v>307</v>
      </c>
      <c r="B907" s="5">
        <v>45197</v>
      </c>
      <c r="C907" s="3">
        <v>0.70833333333333337</v>
      </c>
      <c r="D907" s="5">
        <v>45197</v>
      </c>
      <c r="E907" s="3">
        <v>0.75</v>
      </c>
      <c r="F907" t="b">
        <v>0</v>
      </c>
      <c r="G907" s="11" t="s">
        <v>308</v>
      </c>
      <c r="H907" s="3" t="s">
        <v>293</v>
      </c>
      <c r="I907" t="b">
        <v>0</v>
      </c>
    </row>
    <row r="908" spans="1:9" ht="15" hidden="1" customHeight="1" x14ac:dyDescent="0.2">
      <c r="A908" s="3" t="s">
        <v>307</v>
      </c>
      <c r="B908" s="5">
        <v>45202</v>
      </c>
      <c r="C908" s="3">
        <v>0.625</v>
      </c>
      <c r="D908" s="5">
        <v>45195</v>
      </c>
      <c r="E908" s="3">
        <v>0.66666666666666663</v>
      </c>
      <c r="F908" s="3" t="b">
        <v>0</v>
      </c>
      <c r="G908" s="3" t="s">
        <v>308</v>
      </c>
      <c r="H908" s="3" t="s">
        <v>293</v>
      </c>
      <c r="I908" s="3" t="b">
        <v>0</v>
      </c>
    </row>
    <row r="909" spans="1:9" ht="15" hidden="1" customHeight="1" x14ac:dyDescent="0.2">
      <c r="A909" s="3" t="s">
        <v>307</v>
      </c>
      <c r="B909" s="5">
        <v>45203</v>
      </c>
      <c r="C909" s="3">
        <v>0.58333333333333337</v>
      </c>
      <c r="D909" s="5">
        <v>45196</v>
      </c>
      <c r="E909" s="3">
        <v>0.625</v>
      </c>
      <c r="F909" s="3" t="b">
        <v>0</v>
      </c>
      <c r="G909" s="3" t="s">
        <v>308</v>
      </c>
      <c r="H909" s="3" t="s">
        <v>293</v>
      </c>
      <c r="I909" s="3" t="b">
        <v>0</v>
      </c>
    </row>
    <row r="910" spans="1:9" ht="15" hidden="1" customHeight="1" x14ac:dyDescent="0.2">
      <c r="A910" s="3" t="s">
        <v>307</v>
      </c>
      <c r="B910" s="5">
        <v>45204</v>
      </c>
      <c r="C910" s="3">
        <v>0.70833333333333337</v>
      </c>
      <c r="D910" s="5">
        <v>45197</v>
      </c>
      <c r="E910" s="3">
        <v>0.75</v>
      </c>
      <c r="F910" s="3" t="b">
        <v>0</v>
      </c>
      <c r="G910" s="3" t="s">
        <v>308</v>
      </c>
      <c r="H910" s="3" t="s">
        <v>293</v>
      </c>
      <c r="I910" s="3" t="b">
        <v>0</v>
      </c>
    </row>
    <row r="911" spans="1:9" ht="15" hidden="1" customHeight="1" x14ac:dyDescent="0.2">
      <c r="A911" s="3" t="s">
        <v>307</v>
      </c>
      <c r="B911" s="5">
        <v>45209</v>
      </c>
      <c r="C911" s="3">
        <v>0.625</v>
      </c>
      <c r="D911" s="5">
        <v>45195</v>
      </c>
      <c r="E911" s="3">
        <v>0.66666666666666663</v>
      </c>
      <c r="F911" s="3" t="b">
        <v>0</v>
      </c>
      <c r="G911" s="3" t="s">
        <v>308</v>
      </c>
      <c r="H911" s="3" t="s">
        <v>293</v>
      </c>
      <c r="I911" s="3" t="b">
        <v>0</v>
      </c>
    </row>
    <row r="912" spans="1:9" ht="15" hidden="1" customHeight="1" x14ac:dyDescent="0.2">
      <c r="A912" s="3" t="s">
        <v>307</v>
      </c>
      <c r="B912" s="5">
        <v>45210</v>
      </c>
      <c r="C912" s="3">
        <v>0.58333333333333337</v>
      </c>
      <c r="D912" s="5">
        <v>45196</v>
      </c>
      <c r="E912" s="3">
        <v>0.625</v>
      </c>
      <c r="F912" s="3" t="b">
        <v>0</v>
      </c>
      <c r="G912" s="3" t="s">
        <v>308</v>
      </c>
      <c r="H912" s="3" t="s">
        <v>293</v>
      </c>
      <c r="I912" s="3" t="b">
        <v>0</v>
      </c>
    </row>
    <row r="913" spans="1:9" ht="15" hidden="1" customHeight="1" x14ac:dyDescent="0.2">
      <c r="A913" s="3" t="s">
        <v>307</v>
      </c>
      <c r="B913" s="5">
        <v>45211</v>
      </c>
      <c r="C913" s="3">
        <v>0.70833333333333337</v>
      </c>
      <c r="D913" s="5">
        <v>45197</v>
      </c>
      <c r="E913" s="3">
        <v>0.75</v>
      </c>
      <c r="F913" s="3" t="b">
        <v>0</v>
      </c>
      <c r="G913" s="3" t="s">
        <v>308</v>
      </c>
      <c r="H913" s="3" t="s">
        <v>293</v>
      </c>
      <c r="I913" s="3" t="b">
        <v>0</v>
      </c>
    </row>
    <row r="914" spans="1:9" ht="15" hidden="1" customHeight="1" x14ac:dyDescent="0.2">
      <c r="A914" s="3" t="s">
        <v>307</v>
      </c>
      <c r="B914" s="5">
        <v>45216</v>
      </c>
      <c r="C914" s="3">
        <v>0.625</v>
      </c>
      <c r="D914" s="5">
        <v>45195</v>
      </c>
      <c r="E914" s="3">
        <v>0.66666666666666663</v>
      </c>
      <c r="F914" s="3" t="b">
        <v>0</v>
      </c>
      <c r="G914" s="3" t="s">
        <v>308</v>
      </c>
      <c r="H914" s="3" t="s">
        <v>293</v>
      </c>
      <c r="I914" s="3" t="b">
        <v>0</v>
      </c>
    </row>
    <row r="915" spans="1:9" ht="15" hidden="1" customHeight="1" x14ac:dyDescent="0.2">
      <c r="A915" s="3" t="s">
        <v>307</v>
      </c>
      <c r="B915" s="5">
        <v>45217</v>
      </c>
      <c r="C915" s="3">
        <v>0.58333333333333337</v>
      </c>
      <c r="D915" s="5">
        <v>45196</v>
      </c>
      <c r="E915" s="3">
        <v>0.625</v>
      </c>
      <c r="F915" s="3" t="b">
        <v>0</v>
      </c>
      <c r="G915" s="3" t="s">
        <v>308</v>
      </c>
      <c r="H915" s="3" t="s">
        <v>293</v>
      </c>
      <c r="I915" s="3" t="b">
        <v>0</v>
      </c>
    </row>
    <row r="916" spans="1:9" ht="15" hidden="1" customHeight="1" x14ac:dyDescent="0.2">
      <c r="A916" s="3" t="s">
        <v>307</v>
      </c>
      <c r="B916" s="5">
        <v>45218</v>
      </c>
      <c r="C916" s="3">
        <v>0.70833333333333337</v>
      </c>
      <c r="D916" s="5">
        <v>45197</v>
      </c>
      <c r="E916" s="3">
        <v>0.75</v>
      </c>
      <c r="F916" s="3" t="b">
        <v>0</v>
      </c>
      <c r="G916" s="3" t="s">
        <v>308</v>
      </c>
      <c r="H916" s="3" t="s">
        <v>293</v>
      </c>
      <c r="I916" s="3" t="b">
        <v>0</v>
      </c>
    </row>
    <row r="917" spans="1:9" ht="15" hidden="1" customHeight="1" x14ac:dyDescent="0.2">
      <c r="A917" s="3" t="s">
        <v>307</v>
      </c>
      <c r="B917" s="5">
        <v>45223</v>
      </c>
      <c r="C917" s="3">
        <v>0.625</v>
      </c>
      <c r="D917" s="5">
        <v>45195</v>
      </c>
      <c r="E917" s="3">
        <v>0.66666666666666663</v>
      </c>
      <c r="F917" s="3" t="b">
        <v>0</v>
      </c>
      <c r="G917" s="3" t="s">
        <v>308</v>
      </c>
      <c r="H917" s="3" t="s">
        <v>293</v>
      </c>
      <c r="I917" s="3" t="b">
        <v>0</v>
      </c>
    </row>
    <row r="918" spans="1:9" ht="15" hidden="1" customHeight="1" x14ac:dyDescent="0.2">
      <c r="A918" s="3" t="s">
        <v>307</v>
      </c>
      <c r="B918" s="5">
        <v>45224</v>
      </c>
      <c r="C918" s="3">
        <v>0.58333333333333337</v>
      </c>
      <c r="D918" s="5">
        <v>45196</v>
      </c>
      <c r="E918" s="3">
        <v>0.625</v>
      </c>
      <c r="F918" s="3" t="b">
        <v>0</v>
      </c>
      <c r="G918" s="3" t="s">
        <v>308</v>
      </c>
      <c r="H918" s="3" t="s">
        <v>293</v>
      </c>
      <c r="I918" s="3" t="b">
        <v>0</v>
      </c>
    </row>
    <row r="919" spans="1:9" ht="15" hidden="1" customHeight="1" x14ac:dyDescent="0.2">
      <c r="A919" s="3" t="s">
        <v>307</v>
      </c>
      <c r="B919" s="5">
        <v>45225</v>
      </c>
      <c r="C919" s="3">
        <v>0.70833333333333337</v>
      </c>
      <c r="D919" s="5">
        <v>45197</v>
      </c>
      <c r="E919" s="3">
        <v>0.75</v>
      </c>
      <c r="F919" s="3" t="b">
        <v>0</v>
      </c>
      <c r="G919" s="3" t="s">
        <v>308</v>
      </c>
      <c r="H919" s="3" t="s">
        <v>293</v>
      </c>
      <c r="I919" s="3" t="b">
        <v>0</v>
      </c>
    </row>
    <row r="920" spans="1:9" ht="15" hidden="1" customHeight="1" x14ac:dyDescent="0.2">
      <c r="A920" s="3" t="s">
        <v>307</v>
      </c>
      <c r="B920" s="5">
        <v>45230</v>
      </c>
      <c r="C920" s="3">
        <v>0.625</v>
      </c>
      <c r="D920" s="5">
        <v>45195</v>
      </c>
      <c r="E920" s="3">
        <v>0.66666666666666663</v>
      </c>
      <c r="F920" s="3" t="b">
        <v>0</v>
      </c>
      <c r="G920" s="3" t="s">
        <v>308</v>
      </c>
      <c r="H920" s="3" t="s">
        <v>293</v>
      </c>
      <c r="I920" s="3" t="b">
        <v>0</v>
      </c>
    </row>
    <row r="921" spans="1:9" ht="15" hidden="1" customHeight="1" x14ac:dyDescent="0.2">
      <c r="A921" s="3" t="s">
        <v>307</v>
      </c>
      <c r="B921" s="5">
        <v>45231</v>
      </c>
      <c r="C921" s="3">
        <v>0.58333333333333337</v>
      </c>
      <c r="D921" s="5">
        <v>45196</v>
      </c>
      <c r="E921" s="3">
        <v>0.625</v>
      </c>
      <c r="F921" s="3" t="b">
        <v>0</v>
      </c>
      <c r="G921" s="3" t="s">
        <v>308</v>
      </c>
      <c r="H921" s="3" t="s">
        <v>293</v>
      </c>
      <c r="I921" s="3" t="b">
        <v>0</v>
      </c>
    </row>
    <row r="922" spans="1:9" ht="15" hidden="1" customHeight="1" x14ac:dyDescent="0.2">
      <c r="A922" s="3" t="s">
        <v>307</v>
      </c>
      <c r="B922" s="5">
        <v>45232</v>
      </c>
      <c r="C922" s="3">
        <v>0.70833333333333337</v>
      </c>
      <c r="D922" s="5">
        <v>45197</v>
      </c>
      <c r="E922" s="3">
        <v>0.75</v>
      </c>
      <c r="F922" s="3" t="b">
        <v>0</v>
      </c>
      <c r="G922" s="3" t="s">
        <v>308</v>
      </c>
      <c r="H922" s="3" t="s">
        <v>293</v>
      </c>
      <c r="I922" s="3" t="b">
        <v>0</v>
      </c>
    </row>
    <row r="923" spans="1:9" ht="15" hidden="1" customHeight="1" x14ac:dyDescent="0.2">
      <c r="A923" s="3" t="s">
        <v>307</v>
      </c>
      <c r="B923" s="5">
        <v>45237</v>
      </c>
      <c r="C923" s="3">
        <v>0.625</v>
      </c>
      <c r="D923" s="5">
        <v>45195</v>
      </c>
      <c r="E923" s="3">
        <v>0.66666666666666663</v>
      </c>
      <c r="F923" s="3" t="b">
        <v>0</v>
      </c>
      <c r="G923" s="3" t="s">
        <v>308</v>
      </c>
      <c r="H923" s="3" t="s">
        <v>293</v>
      </c>
      <c r="I923" s="3" t="b">
        <v>0</v>
      </c>
    </row>
    <row r="924" spans="1:9" ht="15" hidden="1" customHeight="1" x14ac:dyDescent="0.2">
      <c r="A924" s="3" t="s">
        <v>307</v>
      </c>
      <c r="B924" s="5">
        <v>45238</v>
      </c>
      <c r="C924" s="3">
        <v>0.58333333333333337</v>
      </c>
      <c r="D924" s="5">
        <v>45196</v>
      </c>
      <c r="E924" s="3">
        <v>0.625</v>
      </c>
      <c r="F924" s="3" t="b">
        <v>0</v>
      </c>
      <c r="G924" s="3" t="s">
        <v>308</v>
      </c>
      <c r="H924" s="3" t="s">
        <v>293</v>
      </c>
      <c r="I924" s="3" t="b">
        <v>0</v>
      </c>
    </row>
    <row r="925" spans="1:9" ht="15" hidden="1" customHeight="1" x14ac:dyDescent="0.2">
      <c r="A925" s="3" t="s">
        <v>307</v>
      </c>
      <c r="B925" s="5">
        <v>45239</v>
      </c>
      <c r="C925" s="3">
        <v>0.70833333333333337</v>
      </c>
      <c r="D925" s="5">
        <v>45197</v>
      </c>
      <c r="E925" s="3">
        <v>0.75</v>
      </c>
      <c r="F925" s="3" t="b">
        <v>0</v>
      </c>
      <c r="G925" s="3" t="s">
        <v>308</v>
      </c>
      <c r="H925" s="3" t="s">
        <v>293</v>
      </c>
      <c r="I925" s="3" t="b">
        <v>0</v>
      </c>
    </row>
    <row r="926" spans="1:9" ht="15" customHeight="1" x14ac:dyDescent="0.2">
      <c r="A926" t="s">
        <v>227</v>
      </c>
      <c r="B926" s="5">
        <v>45195</v>
      </c>
      <c r="C926" s="3">
        <v>0.35416666666666669</v>
      </c>
      <c r="D926" s="5">
        <v>45195</v>
      </c>
      <c r="E926" s="3">
        <v>0.4375</v>
      </c>
      <c r="F926" t="b">
        <v>0</v>
      </c>
      <c r="G926" s="4" t="s">
        <v>228</v>
      </c>
      <c r="H926" t="s">
        <v>224</v>
      </c>
      <c r="I926" t="b">
        <v>0</v>
      </c>
    </row>
    <row r="927" spans="1:9" ht="15" customHeight="1" x14ac:dyDescent="0.2">
      <c r="A927" t="s">
        <v>227</v>
      </c>
      <c r="B927" s="5">
        <v>45197</v>
      </c>
      <c r="C927" s="3">
        <v>0.35416666666666669</v>
      </c>
      <c r="D927" s="5">
        <v>45197</v>
      </c>
      <c r="E927" s="3">
        <v>0.4375</v>
      </c>
      <c r="F927" t="b">
        <v>0</v>
      </c>
      <c r="G927" s="4" t="s">
        <v>228</v>
      </c>
      <c r="H927" t="s">
        <v>224</v>
      </c>
      <c r="I927" t="b">
        <v>0</v>
      </c>
    </row>
    <row r="928" spans="1:9" ht="15" customHeight="1" x14ac:dyDescent="0.2">
      <c r="A928" t="s">
        <v>227</v>
      </c>
      <c r="B928" s="5">
        <v>45202</v>
      </c>
      <c r="C928" s="3">
        <v>0.35416666666666669</v>
      </c>
      <c r="D928" s="5">
        <v>45202</v>
      </c>
      <c r="E928" s="3">
        <v>0.4375</v>
      </c>
      <c r="F928" t="b">
        <v>0</v>
      </c>
      <c r="G928" s="4" t="s">
        <v>228</v>
      </c>
      <c r="H928" t="s">
        <v>224</v>
      </c>
      <c r="I928" t="b">
        <v>0</v>
      </c>
    </row>
    <row r="929" spans="1:9" ht="15" customHeight="1" x14ac:dyDescent="0.2">
      <c r="A929" t="s">
        <v>227</v>
      </c>
      <c r="B929" s="5">
        <v>45204</v>
      </c>
      <c r="C929" s="3">
        <v>0.35416666666666669</v>
      </c>
      <c r="D929" s="5">
        <v>45204</v>
      </c>
      <c r="E929" s="3">
        <v>0.4375</v>
      </c>
      <c r="F929" t="b">
        <v>0</v>
      </c>
      <c r="G929" s="4" t="s">
        <v>228</v>
      </c>
      <c r="H929" t="s">
        <v>224</v>
      </c>
      <c r="I929" t="b">
        <v>0</v>
      </c>
    </row>
    <row r="930" spans="1:9" ht="15" customHeight="1" x14ac:dyDescent="0.2">
      <c r="A930" t="s">
        <v>227</v>
      </c>
      <c r="B930" s="5">
        <v>45209</v>
      </c>
      <c r="C930" s="3">
        <v>0.35416666666666669</v>
      </c>
      <c r="D930" s="5">
        <v>45209</v>
      </c>
      <c r="E930" s="3">
        <v>0.4375</v>
      </c>
      <c r="F930" t="b">
        <v>0</v>
      </c>
      <c r="G930" s="4" t="s">
        <v>228</v>
      </c>
      <c r="H930" t="s">
        <v>224</v>
      </c>
      <c r="I930" t="b">
        <v>0</v>
      </c>
    </row>
    <row r="931" spans="1:9" ht="15" customHeight="1" x14ac:dyDescent="0.2">
      <c r="A931" t="s">
        <v>227</v>
      </c>
      <c r="B931" s="5">
        <v>45211</v>
      </c>
      <c r="C931" s="3">
        <v>0.35416666666666669</v>
      </c>
      <c r="D931" s="5">
        <v>45211</v>
      </c>
      <c r="E931" s="3">
        <v>0.4375</v>
      </c>
      <c r="F931" t="b">
        <v>0</v>
      </c>
      <c r="G931" s="4" t="s">
        <v>228</v>
      </c>
      <c r="H931" t="s">
        <v>224</v>
      </c>
      <c r="I931" t="b">
        <v>0</v>
      </c>
    </row>
    <row r="932" spans="1:9" ht="15" customHeight="1" x14ac:dyDescent="0.2">
      <c r="A932" t="s">
        <v>227</v>
      </c>
      <c r="B932" s="5">
        <v>45216</v>
      </c>
      <c r="C932" s="3">
        <v>0.35416666666666669</v>
      </c>
      <c r="D932" s="5">
        <v>45216</v>
      </c>
      <c r="E932" s="3">
        <v>0.4375</v>
      </c>
      <c r="F932" t="b">
        <v>0</v>
      </c>
      <c r="G932" s="4" t="s">
        <v>228</v>
      </c>
      <c r="H932" t="s">
        <v>224</v>
      </c>
      <c r="I932" t="b">
        <v>0</v>
      </c>
    </row>
    <row r="933" spans="1:9" ht="15" customHeight="1" x14ac:dyDescent="0.2">
      <c r="A933" t="s">
        <v>227</v>
      </c>
      <c r="B933" s="5">
        <v>45218</v>
      </c>
      <c r="C933" s="3">
        <v>0.35416666666666669</v>
      </c>
      <c r="D933" s="5">
        <v>45218</v>
      </c>
      <c r="E933" s="3">
        <v>0.4375</v>
      </c>
      <c r="F933" t="b">
        <v>0</v>
      </c>
      <c r="G933" s="4" t="s">
        <v>228</v>
      </c>
      <c r="H933" t="s">
        <v>224</v>
      </c>
      <c r="I933" t="b">
        <v>0</v>
      </c>
    </row>
    <row r="934" spans="1:9" ht="15" customHeight="1" x14ac:dyDescent="0.2">
      <c r="A934" t="s">
        <v>227</v>
      </c>
      <c r="B934" s="5">
        <v>45223</v>
      </c>
      <c r="C934" s="3">
        <v>0.35416666666666669</v>
      </c>
      <c r="D934" s="5">
        <v>45223</v>
      </c>
      <c r="E934" s="3">
        <v>0.4375</v>
      </c>
      <c r="F934" t="b">
        <v>0</v>
      </c>
      <c r="G934" s="4" t="s">
        <v>228</v>
      </c>
      <c r="H934" t="s">
        <v>224</v>
      </c>
      <c r="I934" t="b">
        <v>0</v>
      </c>
    </row>
    <row r="935" spans="1:9" ht="15" customHeight="1" x14ac:dyDescent="0.2">
      <c r="A935" t="s">
        <v>227</v>
      </c>
      <c r="B935" s="5">
        <v>45225</v>
      </c>
      <c r="C935" s="3">
        <v>0.35416666666666669</v>
      </c>
      <c r="D935" s="5">
        <v>45225</v>
      </c>
      <c r="E935" s="3">
        <v>0.4375</v>
      </c>
      <c r="F935" t="b">
        <v>0</v>
      </c>
      <c r="G935" s="4" t="s">
        <v>228</v>
      </c>
      <c r="H935" t="s">
        <v>224</v>
      </c>
      <c r="I935" t="b">
        <v>0</v>
      </c>
    </row>
    <row r="936" spans="1:9" ht="15" customHeight="1" x14ac:dyDescent="0.2">
      <c r="A936" t="s">
        <v>227</v>
      </c>
      <c r="B936" s="5">
        <v>45230</v>
      </c>
      <c r="C936" s="3">
        <v>0.35416666666666669</v>
      </c>
      <c r="D936" s="5">
        <v>45230</v>
      </c>
      <c r="E936" s="3">
        <v>0.4375</v>
      </c>
      <c r="F936" t="b">
        <v>0</v>
      </c>
      <c r="G936" s="4" t="s">
        <v>228</v>
      </c>
      <c r="H936" t="s">
        <v>224</v>
      </c>
      <c r="I936" t="b">
        <v>0</v>
      </c>
    </row>
    <row r="937" spans="1:9" ht="15" customHeight="1" x14ac:dyDescent="0.2">
      <c r="A937" t="s">
        <v>227</v>
      </c>
      <c r="B937" s="5">
        <v>45232</v>
      </c>
      <c r="C937" s="3">
        <v>0.35416666666666669</v>
      </c>
      <c r="D937" s="5">
        <v>45232</v>
      </c>
      <c r="E937" s="3">
        <v>0.4375</v>
      </c>
      <c r="F937" t="b">
        <v>0</v>
      </c>
      <c r="G937" s="4" t="s">
        <v>228</v>
      </c>
      <c r="H937" t="s">
        <v>224</v>
      </c>
      <c r="I937" t="b">
        <v>0</v>
      </c>
    </row>
    <row r="938" spans="1:9" ht="15" customHeight="1" x14ac:dyDescent="0.2">
      <c r="A938" t="s">
        <v>227</v>
      </c>
      <c r="B938" s="5">
        <v>45237</v>
      </c>
      <c r="C938" s="3">
        <v>0.35416666666666669</v>
      </c>
      <c r="D938" s="5">
        <v>45237</v>
      </c>
      <c r="E938" s="3">
        <v>0.4375</v>
      </c>
      <c r="F938" t="b">
        <v>0</v>
      </c>
      <c r="G938" s="4" t="s">
        <v>228</v>
      </c>
      <c r="H938" t="s">
        <v>224</v>
      </c>
      <c r="I938" t="b">
        <v>0</v>
      </c>
    </row>
    <row r="939" spans="1:9" ht="15" customHeight="1" x14ac:dyDescent="0.2">
      <c r="A939" t="s">
        <v>227</v>
      </c>
      <c r="B939" s="5">
        <v>45239</v>
      </c>
      <c r="C939" s="3">
        <v>0.35416666666666669</v>
      </c>
      <c r="D939" s="5">
        <v>45239</v>
      </c>
      <c r="E939" s="3">
        <v>0.4375</v>
      </c>
      <c r="F939" t="b">
        <v>0</v>
      </c>
      <c r="G939" s="4" t="s">
        <v>228</v>
      </c>
      <c r="H939" t="s">
        <v>224</v>
      </c>
      <c r="I939" t="b">
        <v>0</v>
      </c>
    </row>
    <row r="940" spans="1:9" ht="15" hidden="1" customHeight="1" x14ac:dyDescent="0.2">
      <c r="A940" t="s">
        <v>126</v>
      </c>
      <c r="B940" s="5">
        <v>45195</v>
      </c>
      <c r="C940" s="3">
        <v>0.58333333333333337</v>
      </c>
      <c r="D940" s="5">
        <v>45195</v>
      </c>
      <c r="E940" s="3">
        <v>0.625</v>
      </c>
      <c r="F940" t="b">
        <v>0</v>
      </c>
      <c r="G940" s="4" t="s">
        <v>128</v>
      </c>
      <c r="H940" t="s">
        <v>127</v>
      </c>
      <c r="I940" t="b">
        <v>0</v>
      </c>
    </row>
    <row r="941" spans="1:9" ht="15" hidden="1" customHeight="1" x14ac:dyDescent="0.2">
      <c r="A941" t="s">
        <v>126</v>
      </c>
      <c r="B941" s="5">
        <v>45197</v>
      </c>
      <c r="C941" s="3">
        <v>0.625</v>
      </c>
      <c r="D941" s="5">
        <v>45197</v>
      </c>
      <c r="E941" s="3">
        <v>0.66666666666666663</v>
      </c>
      <c r="F941" t="b">
        <v>0</v>
      </c>
      <c r="G941" s="4" t="s">
        <v>128</v>
      </c>
      <c r="H941" t="s">
        <v>127</v>
      </c>
      <c r="I941" t="b">
        <v>0</v>
      </c>
    </row>
    <row r="942" spans="1:9" ht="15" hidden="1" customHeight="1" x14ac:dyDescent="0.2">
      <c r="A942" t="s">
        <v>126</v>
      </c>
      <c r="B942" s="5">
        <v>45198</v>
      </c>
      <c r="C942" s="3">
        <v>0.66666666666666663</v>
      </c>
      <c r="D942" s="5">
        <v>45198</v>
      </c>
      <c r="E942" s="3">
        <v>0.70833333333333326</v>
      </c>
      <c r="F942" t="b">
        <v>0</v>
      </c>
      <c r="G942" s="4" t="s">
        <v>128</v>
      </c>
      <c r="H942" t="s">
        <v>127</v>
      </c>
      <c r="I942" t="b">
        <v>0</v>
      </c>
    </row>
    <row r="943" spans="1:9" ht="15" hidden="1" customHeight="1" x14ac:dyDescent="0.2">
      <c r="A943" t="s">
        <v>126</v>
      </c>
      <c r="B943" s="5">
        <v>45202</v>
      </c>
      <c r="C943" s="3">
        <v>0.58333333333333337</v>
      </c>
      <c r="D943" s="5">
        <v>45202</v>
      </c>
      <c r="E943" s="3">
        <v>0.625</v>
      </c>
      <c r="F943" t="b">
        <v>0</v>
      </c>
      <c r="G943" s="4" t="s">
        <v>128</v>
      </c>
      <c r="H943" t="s">
        <v>127</v>
      </c>
      <c r="I943" t="b">
        <v>0</v>
      </c>
    </row>
    <row r="944" spans="1:9" ht="15" hidden="1" customHeight="1" x14ac:dyDescent="0.2">
      <c r="A944" t="s">
        <v>126</v>
      </c>
      <c r="B944" s="5">
        <v>45204</v>
      </c>
      <c r="C944" s="3">
        <v>0.625</v>
      </c>
      <c r="D944" s="5">
        <v>45204</v>
      </c>
      <c r="E944" s="3">
        <v>0.66666666666666663</v>
      </c>
      <c r="F944" t="b">
        <v>0</v>
      </c>
      <c r="G944" s="4" t="s">
        <v>128</v>
      </c>
      <c r="H944" t="s">
        <v>127</v>
      </c>
      <c r="I944" t="b">
        <v>0</v>
      </c>
    </row>
    <row r="945" spans="1:9" ht="15" hidden="1" customHeight="1" x14ac:dyDescent="0.2">
      <c r="A945" t="s">
        <v>126</v>
      </c>
      <c r="B945" s="5">
        <v>45205</v>
      </c>
      <c r="C945" s="3">
        <v>0.66666666666666663</v>
      </c>
      <c r="D945" s="5">
        <v>45205</v>
      </c>
      <c r="E945" s="3">
        <v>0.70833333333333326</v>
      </c>
      <c r="F945" t="b">
        <v>0</v>
      </c>
      <c r="G945" s="4" t="s">
        <v>128</v>
      </c>
      <c r="H945" t="s">
        <v>127</v>
      </c>
      <c r="I945" t="b">
        <v>0</v>
      </c>
    </row>
    <row r="946" spans="1:9" ht="15" hidden="1" customHeight="1" x14ac:dyDescent="0.2">
      <c r="A946" t="s">
        <v>126</v>
      </c>
      <c r="B946" s="5">
        <v>45209</v>
      </c>
      <c r="C946" s="3">
        <v>0.58333333333333337</v>
      </c>
      <c r="D946" s="5">
        <v>45209</v>
      </c>
      <c r="E946" s="3">
        <v>0.625</v>
      </c>
      <c r="F946" t="b">
        <v>0</v>
      </c>
      <c r="G946" s="4" t="s">
        <v>128</v>
      </c>
      <c r="H946" t="s">
        <v>127</v>
      </c>
      <c r="I946" t="b">
        <v>0</v>
      </c>
    </row>
    <row r="947" spans="1:9" ht="15" hidden="1" customHeight="1" x14ac:dyDescent="0.2">
      <c r="A947" t="s">
        <v>126</v>
      </c>
      <c r="B947" s="5">
        <v>45211</v>
      </c>
      <c r="C947" s="3">
        <v>0.625</v>
      </c>
      <c r="D947" s="5">
        <v>45211</v>
      </c>
      <c r="E947" s="3">
        <v>0.66666666666666663</v>
      </c>
      <c r="F947" t="b">
        <v>0</v>
      </c>
      <c r="G947" s="4" t="s">
        <v>128</v>
      </c>
      <c r="H947" t="s">
        <v>127</v>
      </c>
      <c r="I947" t="b">
        <v>0</v>
      </c>
    </row>
    <row r="948" spans="1:9" ht="15" hidden="1" customHeight="1" x14ac:dyDescent="0.2">
      <c r="A948" t="s">
        <v>126</v>
      </c>
      <c r="B948" s="5">
        <v>45212</v>
      </c>
      <c r="C948" s="3">
        <v>0.66666666666666663</v>
      </c>
      <c r="D948" s="5">
        <v>45212</v>
      </c>
      <c r="E948" s="3">
        <v>0.70833333333333326</v>
      </c>
      <c r="F948" t="b">
        <v>0</v>
      </c>
      <c r="G948" s="4" t="s">
        <v>128</v>
      </c>
      <c r="H948" t="s">
        <v>127</v>
      </c>
      <c r="I948" t="b">
        <v>0</v>
      </c>
    </row>
    <row r="949" spans="1:9" ht="15" hidden="1" customHeight="1" x14ac:dyDescent="0.2">
      <c r="A949" t="s">
        <v>126</v>
      </c>
      <c r="B949" s="5">
        <v>45216</v>
      </c>
      <c r="C949" s="3">
        <v>0.58333333333333337</v>
      </c>
      <c r="D949" s="5">
        <v>45216</v>
      </c>
      <c r="E949" s="3">
        <v>0.625</v>
      </c>
      <c r="F949" t="b">
        <v>0</v>
      </c>
      <c r="G949" s="4" t="s">
        <v>128</v>
      </c>
      <c r="H949" t="s">
        <v>127</v>
      </c>
      <c r="I949" t="b">
        <v>0</v>
      </c>
    </row>
    <row r="950" spans="1:9" ht="15" hidden="1" customHeight="1" x14ac:dyDescent="0.2">
      <c r="A950" t="s">
        <v>126</v>
      </c>
      <c r="B950" s="5">
        <v>45218</v>
      </c>
      <c r="C950" s="3">
        <v>0.625</v>
      </c>
      <c r="D950" s="5">
        <v>45218</v>
      </c>
      <c r="E950" s="3">
        <v>0.66666666666666663</v>
      </c>
      <c r="F950" t="b">
        <v>0</v>
      </c>
      <c r="G950" s="4" t="s">
        <v>128</v>
      </c>
      <c r="H950" t="s">
        <v>127</v>
      </c>
      <c r="I950" t="b">
        <v>0</v>
      </c>
    </row>
    <row r="951" spans="1:9" ht="15" hidden="1" customHeight="1" x14ac:dyDescent="0.2">
      <c r="A951" t="s">
        <v>126</v>
      </c>
      <c r="B951" s="5">
        <v>45219</v>
      </c>
      <c r="C951" s="3">
        <v>0.66666666666666663</v>
      </c>
      <c r="D951" s="5">
        <v>45219</v>
      </c>
      <c r="E951" s="3">
        <v>0.70833333333333326</v>
      </c>
      <c r="F951" t="b">
        <v>0</v>
      </c>
      <c r="G951" s="4" t="s">
        <v>128</v>
      </c>
      <c r="H951" t="s">
        <v>127</v>
      </c>
      <c r="I951" t="b">
        <v>0</v>
      </c>
    </row>
    <row r="952" spans="1:9" ht="15" hidden="1" customHeight="1" x14ac:dyDescent="0.2">
      <c r="A952" t="s">
        <v>126</v>
      </c>
      <c r="B952" s="5">
        <v>45223</v>
      </c>
      <c r="C952" s="3">
        <v>0.58333333333333337</v>
      </c>
      <c r="D952" s="5">
        <v>45223</v>
      </c>
      <c r="E952" s="3">
        <v>0.625</v>
      </c>
      <c r="F952" t="b">
        <v>0</v>
      </c>
      <c r="G952" s="4" t="s">
        <v>128</v>
      </c>
      <c r="H952" t="s">
        <v>127</v>
      </c>
      <c r="I952" t="b">
        <v>0</v>
      </c>
    </row>
    <row r="953" spans="1:9" ht="15" hidden="1" customHeight="1" x14ac:dyDescent="0.2">
      <c r="A953" t="s">
        <v>126</v>
      </c>
      <c r="B953" s="5">
        <v>45225</v>
      </c>
      <c r="C953" s="3">
        <v>0.625</v>
      </c>
      <c r="D953" s="5">
        <v>45225</v>
      </c>
      <c r="E953" s="3">
        <v>0.66666666666666663</v>
      </c>
      <c r="F953" t="b">
        <v>0</v>
      </c>
      <c r="G953" s="4" t="s">
        <v>128</v>
      </c>
      <c r="H953" t="s">
        <v>127</v>
      </c>
      <c r="I953" t="b">
        <v>0</v>
      </c>
    </row>
    <row r="954" spans="1:9" ht="15" hidden="1" customHeight="1" x14ac:dyDescent="0.2">
      <c r="A954" t="s">
        <v>126</v>
      </c>
      <c r="B954" s="5">
        <v>45226</v>
      </c>
      <c r="C954" s="3">
        <v>0.66666666666666663</v>
      </c>
      <c r="D954" s="5">
        <v>45226</v>
      </c>
      <c r="E954" s="3">
        <v>0.70833333333333326</v>
      </c>
      <c r="F954" t="b">
        <v>0</v>
      </c>
      <c r="G954" s="4" t="s">
        <v>128</v>
      </c>
      <c r="H954" t="s">
        <v>127</v>
      </c>
      <c r="I954" t="b">
        <v>0</v>
      </c>
    </row>
    <row r="955" spans="1:9" ht="15" hidden="1" customHeight="1" x14ac:dyDescent="0.2">
      <c r="A955" t="s">
        <v>126</v>
      </c>
      <c r="B955" s="5">
        <v>45230</v>
      </c>
      <c r="C955" s="3">
        <v>0.58333333333333337</v>
      </c>
      <c r="D955" s="5">
        <v>45230</v>
      </c>
      <c r="E955" s="3">
        <v>0.625</v>
      </c>
      <c r="F955" t="b">
        <v>0</v>
      </c>
      <c r="G955" s="4" t="s">
        <v>128</v>
      </c>
      <c r="H955" t="s">
        <v>127</v>
      </c>
      <c r="I955" t="b">
        <v>0</v>
      </c>
    </row>
    <row r="956" spans="1:9" ht="15" hidden="1" customHeight="1" x14ac:dyDescent="0.2">
      <c r="A956" t="s">
        <v>126</v>
      </c>
      <c r="B956" s="5">
        <v>45232</v>
      </c>
      <c r="C956" s="3">
        <v>0.625</v>
      </c>
      <c r="D956" s="5">
        <v>45232</v>
      </c>
      <c r="E956" s="3">
        <v>0.66666666666666663</v>
      </c>
      <c r="F956" t="b">
        <v>0</v>
      </c>
      <c r="G956" s="4" t="s">
        <v>128</v>
      </c>
      <c r="H956" t="s">
        <v>127</v>
      </c>
      <c r="I956" t="b">
        <v>0</v>
      </c>
    </row>
    <row r="957" spans="1:9" ht="15" hidden="1" customHeight="1" x14ac:dyDescent="0.2">
      <c r="A957" t="s">
        <v>126</v>
      </c>
      <c r="B957" s="5">
        <v>45233</v>
      </c>
      <c r="C957" s="3">
        <v>0.66666666666666663</v>
      </c>
      <c r="D957" s="5">
        <v>45233</v>
      </c>
      <c r="E957" s="3">
        <v>0.70833333333333326</v>
      </c>
      <c r="F957" t="b">
        <v>0</v>
      </c>
      <c r="G957" s="4" t="s">
        <v>128</v>
      </c>
      <c r="H957" t="s">
        <v>127</v>
      </c>
      <c r="I957" t="b">
        <v>0</v>
      </c>
    </row>
    <row r="958" spans="1:9" ht="15" hidden="1" customHeight="1" x14ac:dyDescent="0.2">
      <c r="A958" t="s">
        <v>126</v>
      </c>
      <c r="B958" s="5">
        <v>45237</v>
      </c>
      <c r="C958" s="3">
        <v>0.58333333333333337</v>
      </c>
      <c r="D958" s="5">
        <v>45237</v>
      </c>
      <c r="E958" s="3">
        <v>0.625</v>
      </c>
      <c r="F958" t="b">
        <v>0</v>
      </c>
      <c r="G958" s="4" t="s">
        <v>128</v>
      </c>
      <c r="H958" t="s">
        <v>127</v>
      </c>
      <c r="I958" t="b">
        <v>0</v>
      </c>
    </row>
    <row r="959" spans="1:9" ht="15" hidden="1" customHeight="1" x14ac:dyDescent="0.2">
      <c r="A959" t="s">
        <v>126</v>
      </c>
      <c r="B959" s="5">
        <v>45239</v>
      </c>
      <c r="C959" s="3">
        <v>0.625</v>
      </c>
      <c r="D959" s="5">
        <v>45239</v>
      </c>
      <c r="E959" s="3">
        <v>0.66666666666666663</v>
      </c>
      <c r="F959" t="b">
        <v>0</v>
      </c>
      <c r="G959" s="4" t="s">
        <v>128</v>
      </c>
      <c r="H959" t="s">
        <v>127</v>
      </c>
      <c r="I959" t="b">
        <v>0</v>
      </c>
    </row>
    <row r="960" spans="1:9" ht="15" hidden="1" customHeight="1" x14ac:dyDescent="0.2">
      <c r="A960" t="s">
        <v>126</v>
      </c>
      <c r="B960" s="5">
        <v>45240</v>
      </c>
      <c r="C960" s="3">
        <v>0.66666666666666663</v>
      </c>
      <c r="D960" s="5">
        <v>45240</v>
      </c>
      <c r="E960" s="3">
        <v>0.70833333333333326</v>
      </c>
      <c r="F960" t="b">
        <v>0</v>
      </c>
      <c r="G960" s="4" t="s">
        <v>128</v>
      </c>
      <c r="H960" t="s">
        <v>127</v>
      </c>
      <c r="I960" t="b">
        <v>0</v>
      </c>
    </row>
    <row r="961" spans="1:9" ht="15" hidden="1" customHeight="1" x14ac:dyDescent="0.2">
      <c r="A961" t="s">
        <v>186</v>
      </c>
      <c r="B961" s="5">
        <v>45194</v>
      </c>
      <c r="C961" s="3">
        <v>0.4375</v>
      </c>
      <c r="D961" s="5">
        <v>45194</v>
      </c>
      <c r="E961" s="3">
        <v>0.47916666666666669</v>
      </c>
      <c r="F961" t="b">
        <v>0</v>
      </c>
      <c r="G961" s="4" t="s">
        <v>187</v>
      </c>
      <c r="H961" t="s">
        <v>148</v>
      </c>
      <c r="I961" t="b">
        <v>0</v>
      </c>
    </row>
    <row r="962" spans="1:9" ht="15" hidden="1" customHeight="1" x14ac:dyDescent="0.2">
      <c r="A962" s="6" t="s">
        <v>261</v>
      </c>
      <c r="B962" s="5">
        <v>45195</v>
      </c>
      <c r="C962" s="3">
        <v>0.39583333333333331</v>
      </c>
      <c r="D962" s="5">
        <v>45195</v>
      </c>
      <c r="E962" s="3">
        <v>0.4375</v>
      </c>
      <c r="F962" t="b">
        <v>0</v>
      </c>
      <c r="G962" s="6" t="s">
        <v>262</v>
      </c>
      <c r="H962" t="s">
        <v>244</v>
      </c>
      <c r="I962" t="b">
        <v>0</v>
      </c>
    </row>
    <row r="963" spans="1:9" ht="15" hidden="1" customHeight="1" x14ac:dyDescent="0.2">
      <c r="A963" s="6" t="s">
        <v>261</v>
      </c>
      <c r="B963" s="5">
        <v>45197</v>
      </c>
      <c r="C963" s="3">
        <v>0.35416666666666669</v>
      </c>
      <c r="D963" s="5">
        <v>45197</v>
      </c>
      <c r="E963" s="3">
        <v>0.39583333333333337</v>
      </c>
      <c r="F963" t="b">
        <v>0</v>
      </c>
      <c r="G963" s="6" t="s">
        <v>262</v>
      </c>
      <c r="H963" t="s">
        <v>244</v>
      </c>
      <c r="I963" t="b">
        <v>0</v>
      </c>
    </row>
    <row r="964" spans="1:9" ht="15" hidden="1" customHeight="1" x14ac:dyDescent="0.2">
      <c r="A964" s="3" t="s">
        <v>261</v>
      </c>
      <c r="B964" s="5">
        <v>45201</v>
      </c>
      <c r="C964" s="3">
        <v>0.625</v>
      </c>
      <c r="D964" s="5">
        <v>45201</v>
      </c>
      <c r="E964" s="3">
        <v>0.66666666666666663</v>
      </c>
      <c r="F964" t="b">
        <v>0</v>
      </c>
      <c r="G964" s="3" t="s">
        <v>262</v>
      </c>
      <c r="H964" s="3" t="s">
        <v>244</v>
      </c>
      <c r="I964" t="b">
        <v>0</v>
      </c>
    </row>
    <row r="965" spans="1:9" ht="15" hidden="1" customHeight="1" x14ac:dyDescent="0.2">
      <c r="A965" s="3" t="s">
        <v>261</v>
      </c>
      <c r="B965" s="5">
        <v>45202</v>
      </c>
      <c r="C965" s="3">
        <v>0.39583333333333331</v>
      </c>
      <c r="D965" s="5">
        <v>45202</v>
      </c>
      <c r="E965" s="3">
        <v>0.4375</v>
      </c>
      <c r="F965" t="b">
        <v>0</v>
      </c>
      <c r="G965" s="3" t="s">
        <v>262</v>
      </c>
      <c r="H965" s="3" t="s">
        <v>244</v>
      </c>
      <c r="I965" t="b">
        <v>0</v>
      </c>
    </row>
    <row r="966" spans="1:9" ht="15" hidden="1" customHeight="1" x14ac:dyDescent="0.2">
      <c r="A966" s="3" t="s">
        <v>261</v>
      </c>
      <c r="B966" s="5">
        <v>45204</v>
      </c>
      <c r="C966" s="3">
        <v>0.35416666666666669</v>
      </c>
      <c r="D966" s="5">
        <v>45204</v>
      </c>
      <c r="E966" s="3">
        <v>0.39583333333333337</v>
      </c>
      <c r="F966" t="b">
        <v>0</v>
      </c>
      <c r="G966" s="3" t="s">
        <v>262</v>
      </c>
      <c r="H966" s="3" t="s">
        <v>244</v>
      </c>
      <c r="I966" t="b">
        <v>0</v>
      </c>
    </row>
    <row r="967" spans="1:9" ht="15" hidden="1" customHeight="1" x14ac:dyDescent="0.2">
      <c r="A967" s="3" t="s">
        <v>261</v>
      </c>
      <c r="B967" s="5">
        <v>45208</v>
      </c>
      <c r="C967" s="3">
        <v>0.625</v>
      </c>
      <c r="D967" s="5">
        <v>45208</v>
      </c>
      <c r="E967" s="3">
        <v>0.66666666666666663</v>
      </c>
      <c r="F967" t="b">
        <v>0</v>
      </c>
      <c r="G967" s="3" t="s">
        <v>262</v>
      </c>
      <c r="H967" s="3" t="s">
        <v>244</v>
      </c>
      <c r="I967" t="b">
        <v>0</v>
      </c>
    </row>
    <row r="968" spans="1:9" ht="15" hidden="1" customHeight="1" x14ac:dyDescent="0.2">
      <c r="A968" s="3" t="s">
        <v>261</v>
      </c>
      <c r="B968" s="5">
        <v>45209</v>
      </c>
      <c r="C968" s="3">
        <v>0.39583333333333331</v>
      </c>
      <c r="D968" s="5">
        <v>45209</v>
      </c>
      <c r="E968" s="3">
        <v>0.4375</v>
      </c>
      <c r="F968" t="b">
        <v>0</v>
      </c>
      <c r="G968" s="3" t="s">
        <v>262</v>
      </c>
      <c r="H968" s="3" t="s">
        <v>244</v>
      </c>
      <c r="I968" t="b">
        <v>0</v>
      </c>
    </row>
    <row r="969" spans="1:9" ht="15" hidden="1" customHeight="1" x14ac:dyDescent="0.2">
      <c r="A969" s="3" t="s">
        <v>261</v>
      </c>
      <c r="B969" s="5">
        <v>45211</v>
      </c>
      <c r="C969" s="3">
        <v>0.35416666666666669</v>
      </c>
      <c r="D969" s="5">
        <v>45211</v>
      </c>
      <c r="E969" s="3">
        <v>0.39583333333333337</v>
      </c>
      <c r="F969" t="b">
        <v>0</v>
      </c>
      <c r="G969" s="3" t="s">
        <v>262</v>
      </c>
      <c r="H969" s="3" t="s">
        <v>244</v>
      </c>
      <c r="I969" t="b">
        <v>0</v>
      </c>
    </row>
    <row r="970" spans="1:9" ht="15" hidden="1" customHeight="1" x14ac:dyDescent="0.2">
      <c r="A970" s="3" t="s">
        <v>261</v>
      </c>
      <c r="B970" s="5">
        <v>45215</v>
      </c>
      <c r="C970" s="3">
        <v>0.625</v>
      </c>
      <c r="D970" s="5">
        <v>45215</v>
      </c>
      <c r="E970" s="3">
        <v>0.66666666666666663</v>
      </c>
      <c r="F970" t="b">
        <v>0</v>
      </c>
      <c r="G970" s="3" t="s">
        <v>262</v>
      </c>
      <c r="H970" s="3" t="s">
        <v>244</v>
      </c>
      <c r="I970" t="b">
        <v>0</v>
      </c>
    </row>
    <row r="971" spans="1:9" ht="15" hidden="1" customHeight="1" x14ac:dyDescent="0.2">
      <c r="A971" s="3" t="s">
        <v>261</v>
      </c>
      <c r="B971" s="5">
        <v>45216</v>
      </c>
      <c r="C971" s="3">
        <v>0.39583333333333331</v>
      </c>
      <c r="D971" s="5">
        <v>45216</v>
      </c>
      <c r="E971" s="3">
        <v>0.4375</v>
      </c>
      <c r="F971" t="b">
        <v>0</v>
      </c>
      <c r="G971" s="3" t="s">
        <v>262</v>
      </c>
      <c r="H971" s="3" t="s">
        <v>244</v>
      </c>
      <c r="I971" t="b">
        <v>0</v>
      </c>
    </row>
    <row r="972" spans="1:9" ht="15" hidden="1" customHeight="1" x14ac:dyDescent="0.2">
      <c r="A972" s="3" t="s">
        <v>261</v>
      </c>
      <c r="B972" s="5">
        <v>45218</v>
      </c>
      <c r="C972" s="3">
        <v>0.35416666666666669</v>
      </c>
      <c r="D972" s="5">
        <v>45218</v>
      </c>
      <c r="E972" s="3">
        <v>0.39583333333333337</v>
      </c>
      <c r="F972" t="b">
        <v>0</v>
      </c>
      <c r="G972" s="3" t="s">
        <v>262</v>
      </c>
      <c r="H972" s="3" t="s">
        <v>244</v>
      </c>
      <c r="I972" t="b">
        <v>0</v>
      </c>
    </row>
    <row r="973" spans="1:9" ht="15" hidden="1" customHeight="1" x14ac:dyDescent="0.2">
      <c r="A973" s="3" t="s">
        <v>261</v>
      </c>
      <c r="B973" s="5">
        <v>45222</v>
      </c>
      <c r="C973" s="3">
        <v>0.625</v>
      </c>
      <c r="D973" s="5">
        <v>45222</v>
      </c>
      <c r="E973" s="3">
        <v>0.66666666666666663</v>
      </c>
      <c r="F973" t="b">
        <v>0</v>
      </c>
      <c r="G973" s="3" t="s">
        <v>262</v>
      </c>
      <c r="H973" s="3" t="s">
        <v>244</v>
      </c>
      <c r="I973" t="b">
        <v>0</v>
      </c>
    </row>
    <row r="974" spans="1:9" ht="15" hidden="1" customHeight="1" x14ac:dyDescent="0.2">
      <c r="A974" s="3" t="s">
        <v>261</v>
      </c>
      <c r="B974" s="5">
        <v>45223</v>
      </c>
      <c r="C974" s="3">
        <v>0.39583333333333331</v>
      </c>
      <c r="D974" s="5">
        <v>45223</v>
      </c>
      <c r="E974" s="3">
        <v>0.4375</v>
      </c>
      <c r="F974" t="b">
        <v>0</v>
      </c>
      <c r="G974" s="3" t="s">
        <v>262</v>
      </c>
      <c r="H974" s="3" t="s">
        <v>244</v>
      </c>
      <c r="I974" t="b">
        <v>0</v>
      </c>
    </row>
    <row r="975" spans="1:9" ht="15" hidden="1" customHeight="1" x14ac:dyDescent="0.2">
      <c r="A975" s="3" t="s">
        <v>261</v>
      </c>
      <c r="B975" s="5">
        <v>45225</v>
      </c>
      <c r="C975" s="3">
        <v>0.35416666666666669</v>
      </c>
      <c r="D975" s="5">
        <v>45225</v>
      </c>
      <c r="E975" s="3">
        <v>0.39583333333333337</v>
      </c>
      <c r="F975" t="b">
        <v>0</v>
      </c>
      <c r="G975" s="3" t="s">
        <v>262</v>
      </c>
      <c r="H975" s="3" t="s">
        <v>244</v>
      </c>
      <c r="I975" t="b">
        <v>0</v>
      </c>
    </row>
    <row r="976" spans="1:9" ht="15" hidden="1" customHeight="1" x14ac:dyDescent="0.2">
      <c r="A976" s="3" t="s">
        <v>261</v>
      </c>
      <c r="B976" s="5">
        <v>45229</v>
      </c>
      <c r="C976" s="3">
        <v>0.625</v>
      </c>
      <c r="D976" s="5">
        <v>45229</v>
      </c>
      <c r="E976" s="3">
        <v>0.66666666666666663</v>
      </c>
      <c r="F976" t="b">
        <v>0</v>
      </c>
      <c r="G976" s="3" t="s">
        <v>262</v>
      </c>
      <c r="H976" s="3" t="s">
        <v>244</v>
      </c>
      <c r="I976" t="b">
        <v>0</v>
      </c>
    </row>
    <row r="977" spans="1:9" ht="15" hidden="1" customHeight="1" x14ac:dyDescent="0.2">
      <c r="A977" s="3" t="s">
        <v>261</v>
      </c>
      <c r="B977" s="5">
        <v>45230</v>
      </c>
      <c r="C977" s="3">
        <v>0.39583333333333331</v>
      </c>
      <c r="D977" s="5">
        <v>45230</v>
      </c>
      <c r="E977" s="3">
        <v>0.4375</v>
      </c>
      <c r="F977" t="b">
        <v>0</v>
      </c>
      <c r="G977" s="3" t="s">
        <v>262</v>
      </c>
      <c r="H977" s="3" t="s">
        <v>244</v>
      </c>
      <c r="I977" t="b">
        <v>0</v>
      </c>
    </row>
    <row r="978" spans="1:9" ht="15" hidden="1" customHeight="1" x14ac:dyDescent="0.2">
      <c r="A978" s="3" t="s">
        <v>261</v>
      </c>
      <c r="B978" s="5">
        <v>45232</v>
      </c>
      <c r="C978" s="3">
        <v>0.35416666666666669</v>
      </c>
      <c r="D978" s="5">
        <v>45232</v>
      </c>
      <c r="E978" s="3">
        <v>0.39583333333333337</v>
      </c>
      <c r="F978" t="b">
        <v>0</v>
      </c>
      <c r="G978" s="3" t="s">
        <v>262</v>
      </c>
      <c r="H978" s="3" t="s">
        <v>244</v>
      </c>
      <c r="I978" t="b">
        <v>0</v>
      </c>
    </row>
    <row r="979" spans="1:9" ht="15" hidden="1" customHeight="1" x14ac:dyDescent="0.2">
      <c r="A979" s="3" t="s">
        <v>261</v>
      </c>
      <c r="B979" s="5">
        <v>45236</v>
      </c>
      <c r="C979" s="3">
        <v>0.625</v>
      </c>
      <c r="D979" s="5">
        <v>45236</v>
      </c>
      <c r="E979" s="3">
        <v>0.66666666666666663</v>
      </c>
      <c r="F979" t="b">
        <v>0</v>
      </c>
      <c r="G979" s="3" t="s">
        <v>262</v>
      </c>
      <c r="H979" s="3" t="s">
        <v>244</v>
      </c>
      <c r="I979" t="b">
        <v>0</v>
      </c>
    </row>
    <row r="980" spans="1:9" ht="15" hidden="1" customHeight="1" x14ac:dyDescent="0.2">
      <c r="A980" s="3" t="s">
        <v>261</v>
      </c>
      <c r="B980" s="5">
        <v>45237</v>
      </c>
      <c r="C980" s="3">
        <v>0.39583333333333331</v>
      </c>
      <c r="D980" s="5">
        <v>45237</v>
      </c>
      <c r="E980" s="3">
        <v>0.4375</v>
      </c>
      <c r="F980" t="b">
        <v>0</v>
      </c>
      <c r="G980" s="3" t="s">
        <v>262</v>
      </c>
      <c r="H980" s="3" t="s">
        <v>244</v>
      </c>
      <c r="I980" t="b">
        <v>0</v>
      </c>
    </row>
    <row r="981" spans="1:9" ht="15" hidden="1" customHeight="1" x14ac:dyDescent="0.2">
      <c r="A981" s="3" t="s">
        <v>261</v>
      </c>
      <c r="B981" s="5">
        <v>45239</v>
      </c>
      <c r="C981" s="3">
        <v>0.35416666666666669</v>
      </c>
      <c r="D981" s="5">
        <v>45239</v>
      </c>
      <c r="E981" s="3">
        <v>0.39583333333333337</v>
      </c>
      <c r="F981" t="b">
        <v>0</v>
      </c>
      <c r="G981" s="3" t="s">
        <v>262</v>
      </c>
      <c r="H981" s="3" t="s">
        <v>244</v>
      </c>
      <c r="I981" t="b">
        <v>0</v>
      </c>
    </row>
    <row r="982" spans="1:9" ht="15" hidden="1" customHeight="1" x14ac:dyDescent="0.2">
      <c r="A982" t="s">
        <v>149</v>
      </c>
      <c r="B982" s="5">
        <v>45194</v>
      </c>
      <c r="C982" s="3">
        <v>0.47916666666666669</v>
      </c>
      <c r="D982" s="5">
        <v>45194</v>
      </c>
      <c r="E982" s="3">
        <v>0.52083333333333337</v>
      </c>
      <c r="F982" t="b">
        <v>0</v>
      </c>
      <c r="G982" s="4" t="s">
        <v>150</v>
      </c>
      <c r="H982" t="s">
        <v>148</v>
      </c>
      <c r="I982" t="b">
        <v>0</v>
      </c>
    </row>
    <row r="983" spans="1:9" ht="15" hidden="1" customHeight="1" x14ac:dyDescent="0.2">
      <c r="A983" s="6" t="s">
        <v>263</v>
      </c>
      <c r="B983" s="5">
        <v>45195</v>
      </c>
      <c r="C983" s="3">
        <v>0.39583333333333331</v>
      </c>
      <c r="D983" s="5">
        <v>45195</v>
      </c>
      <c r="E983" s="3">
        <v>0.4375</v>
      </c>
      <c r="F983" t="b">
        <v>0</v>
      </c>
      <c r="G983" s="7" t="s">
        <v>264</v>
      </c>
      <c r="H983" t="s">
        <v>242</v>
      </c>
      <c r="I983" t="b">
        <v>0</v>
      </c>
    </row>
    <row r="984" spans="1:9" ht="15" hidden="1" customHeight="1" x14ac:dyDescent="0.2">
      <c r="A984" s="6" t="s">
        <v>263</v>
      </c>
      <c r="B984" s="5">
        <v>45197</v>
      </c>
      <c r="C984" s="3">
        <v>0.35416666666666669</v>
      </c>
      <c r="D984" s="5">
        <v>45197</v>
      </c>
      <c r="E984" s="3">
        <v>0.39583333333333337</v>
      </c>
      <c r="F984" t="b">
        <v>0</v>
      </c>
      <c r="G984" s="7" t="s">
        <v>264</v>
      </c>
      <c r="H984" t="s">
        <v>242</v>
      </c>
      <c r="I984" t="b">
        <v>0</v>
      </c>
    </row>
    <row r="985" spans="1:9" ht="15" hidden="1" customHeight="1" x14ac:dyDescent="0.2">
      <c r="A985" s="3" t="s">
        <v>263</v>
      </c>
      <c r="B985" s="5">
        <v>45201</v>
      </c>
      <c r="C985" s="3">
        <v>0.625</v>
      </c>
      <c r="D985" s="5">
        <v>45201</v>
      </c>
      <c r="E985" s="3">
        <v>0.66666666666666663</v>
      </c>
      <c r="F985" t="b">
        <v>0</v>
      </c>
      <c r="G985" s="3" t="s">
        <v>264</v>
      </c>
      <c r="H985" s="3" t="s">
        <v>242</v>
      </c>
      <c r="I985" t="b">
        <v>0</v>
      </c>
    </row>
    <row r="986" spans="1:9" ht="15" hidden="1" customHeight="1" x14ac:dyDescent="0.2">
      <c r="A986" s="3" t="s">
        <v>263</v>
      </c>
      <c r="B986" s="5">
        <v>45202</v>
      </c>
      <c r="C986" s="3">
        <v>0.39583333333333331</v>
      </c>
      <c r="D986" s="5">
        <v>45202</v>
      </c>
      <c r="E986" s="3">
        <v>0.4375</v>
      </c>
      <c r="F986" t="b">
        <v>0</v>
      </c>
      <c r="G986" s="3" t="s">
        <v>264</v>
      </c>
      <c r="H986" s="3" t="s">
        <v>242</v>
      </c>
      <c r="I986" t="b">
        <v>0</v>
      </c>
    </row>
    <row r="987" spans="1:9" ht="15" hidden="1" customHeight="1" x14ac:dyDescent="0.2">
      <c r="A987" s="3" t="s">
        <v>263</v>
      </c>
      <c r="B987" s="5">
        <v>45204</v>
      </c>
      <c r="C987" s="3">
        <v>0.35416666666666669</v>
      </c>
      <c r="D987" s="5">
        <v>45204</v>
      </c>
      <c r="E987" s="3">
        <v>0.39583333333333337</v>
      </c>
      <c r="F987" t="b">
        <v>0</v>
      </c>
      <c r="G987" s="3" t="s">
        <v>264</v>
      </c>
      <c r="H987" s="3" t="s">
        <v>242</v>
      </c>
      <c r="I987" t="b">
        <v>0</v>
      </c>
    </row>
    <row r="988" spans="1:9" ht="15" hidden="1" customHeight="1" x14ac:dyDescent="0.2">
      <c r="A988" s="3" t="s">
        <v>263</v>
      </c>
      <c r="B988" s="5">
        <v>45208</v>
      </c>
      <c r="C988" s="3">
        <v>0.625</v>
      </c>
      <c r="D988" s="5">
        <v>45208</v>
      </c>
      <c r="E988" s="3">
        <v>0.66666666666666663</v>
      </c>
      <c r="F988" t="b">
        <v>0</v>
      </c>
      <c r="G988" s="3" t="s">
        <v>264</v>
      </c>
      <c r="H988" s="3" t="s">
        <v>242</v>
      </c>
      <c r="I988" t="b">
        <v>0</v>
      </c>
    </row>
    <row r="989" spans="1:9" ht="15" hidden="1" customHeight="1" x14ac:dyDescent="0.2">
      <c r="A989" s="3" t="s">
        <v>263</v>
      </c>
      <c r="B989" s="5">
        <v>45209</v>
      </c>
      <c r="C989" s="3">
        <v>0.39583333333333331</v>
      </c>
      <c r="D989" s="5">
        <v>45209</v>
      </c>
      <c r="E989" s="3">
        <v>0.4375</v>
      </c>
      <c r="F989" t="b">
        <v>0</v>
      </c>
      <c r="G989" s="3" t="s">
        <v>264</v>
      </c>
      <c r="H989" s="3" t="s">
        <v>242</v>
      </c>
      <c r="I989" t="b">
        <v>0</v>
      </c>
    </row>
    <row r="990" spans="1:9" ht="15" hidden="1" customHeight="1" x14ac:dyDescent="0.2">
      <c r="A990" s="3" t="s">
        <v>263</v>
      </c>
      <c r="B990" s="5">
        <v>45211</v>
      </c>
      <c r="C990" s="3">
        <v>0.35416666666666669</v>
      </c>
      <c r="D990" s="5">
        <v>45211</v>
      </c>
      <c r="E990" s="3">
        <v>0.39583333333333337</v>
      </c>
      <c r="F990" t="b">
        <v>0</v>
      </c>
      <c r="G990" s="3" t="s">
        <v>264</v>
      </c>
      <c r="H990" s="3" t="s">
        <v>242</v>
      </c>
      <c r="I990" t="b">
        <v>0</v>
      </c>
    </row>
    <row r="991" spans="1:9" ht="15" hidden="1" customHeight="1" x14ac:dyDescent="0.2">
      <c r="A991" s="3" t="s">
        <v>263</v>
      </c>
      <c r="B991" s="5">
        <v>45215</v>
      </c>
      <c r="C991" s="3">
        <v>0.625</v>
      </c>
      <c r="D991" s="5">
        <v>45215</v>
      </c>
      <c r="E991" s="3">
        <v>0.66666666666666663</v>
      </c>
      <c r="F991" t="b">
        <v>0</v>
      </c>
      <c r="G991" s="3" t="s">
        <v>264</v>
      </c>
      <c r="H991" s="3" t="s">
        <v>242</v>
      </c>
      <c r="I991" t="b">
        <v>0</v>
      </c>
    </row>
    <row r="992" spans="1:9" ht="15" hidden="1" customHeight="1" x14ac:dyDescent="0.2">
      <c r="A992" s="3" t="s">
        <v>263</v>
      </c>
      <c r="B992" s="5">
        <v>45216</v>
      </c>
      <c r="C992" s="3">
        <v>0.39583333333333331</v>
      </c>
      <c r="D992" s="5">
        <v>45216</v>
      </c>
      <c r="E992" s="3">
        <v>0.4375</v>
      </c>
      <c r="F992" t="b">
        <v>0</v>
      </c>
      <c r="G992" s="3" t="s">
        <v>264</v>
      </c>
      <c r="H992" s="3" t="s">
        <v>242</v>
      </c>
      <c r="I992" t="b">
        <v>0</v>
      </c>
    </row>
    <row r="993" spans="1:9" ht="15" hidden="1" customHeight="1" x14ac:dyDescent="0.2">
      <c r="A993" s="3" t="s">
        <v>263</v>
      </c>
      <c r="B993" s="5">
        <v>45218</v>
      </c>
      <c r="C993" s="3">
        <v>0.35416666666666669</v>
      </c>
      <c r="D993" s="5">
        <v>45218</v>
      </c>
      <c r="E993" s="3">
        <v>0.39583333333333337</v>
      </c>
      <c r="F993" t="b">
        <v>0</v>
      </c>
      <c r="G993" s="3" t="s">
        <v>264</v>
      </c>
      <c r="H993" s="3" t="s">
        <v>242</v>
      </c>
      <c r="I993" t="b">
        <v>0</v>
      </c>
    </row>
    <row r="994" spans="1:9" ht="15" hidden="1" customHeight="1" x14ac:dyDescent="0.2">
      <c r="A994" s="3" t="s">
        <v>263</v>
      </c>
      <c r="B994" s="5">
        <v>45222</v>
      </c>
      <c r="C994" s="3">
        <v>0.625</v>
      </c>
      <c r="D994" s="5">
        <v>45222</v>
      </c>
      <c r="E994" s="3">
        <v>0.66666666666666663</v>
      </c>
      <c r="F994" t="b">
        <v>0</v>
      </c>
      <c r="G994" s="3" t="s">
        <v>264</v>
      </c>
      <c r="H994" s="3" t="s">
        <v>242</v>
      </c>
      <c r="I994" t="b">
        <v>0</v>
      </c>
    </row>
    <row r="995" spans="1:9" ht="15" hidden="1" customHeight="1" x14ac:dyDescent="0.2">
      <c r="A995" s="3" t="s">
        <v>263</v>
      </c>
      <c r="B995" s="5">
        <v>45223</v>
      </c>
      <c r="C995" s="3">
        <v>0.39583333333333331</v>
      </c>
      <c r="D995" s="5">
        <v>45223</v>
      </c>
      <c r="E995" s="3">
        <v>0.4375</v>
      </c>
      <c r="F995" t="b">
        <v>0</v>
      </c>
      <c r="G995" s="3" t="s">
        <v>264</v>
      </c>
      <c r="H995" s="3" t="s">
        <v>242</v>
      </c>
      <c r="I995" t="b">
        <v>0</v>
      </c>
    </row>
    <row r="996" spans="1:9" ht="15" hidden="1" customHeight="1" x14ac:dyDescent="0.2">
      <c r="A996" s="3" t="s">
        <v>263</v>
      </c>
      <c r="B996" s="5">
        <v>45225</v>
      </c>
      <c r="C996" s="3">
        <v>0.35416666666666669</v>
      </c>
      <c r="D996" s="5">
        <v>45225</v>
      </c>
      <c r="E996" s="3">
        <v>0.39583333333333337</v>
      </c>
      <c r="F996" t="b">
        <v>0</v>
      </c>
      <c r="G996" s="3" t="s">
        <v>264</v>
      </c>
      <c r="H996" s="3" t="s">
        <v>242</v>
      </c>
      <c r="I996" t="b">
        <v>0</v>
      </c>
    </row>
    <row r="997" spans="1:9" ht="15" hidden="1" customHeight="1" x14ac:dyDescent="0.2">
      <c r="A997" s="3" t="s">
        <v>263</v>
      </c>
      <c r="B997" s="5">
        <v>45229</v>
      </c>
      <c r="C997" s="3">
        <v>0.625</v>
      </c>
      <c r="D997" s="5">
        <v>45229</v>
      </c>
      <c r="E997" s="3">
        <v>0.66666666666666663</v>
      </c>
      <c r="F997" t="b">
        <v>0</v>
      </c>
      <c r="G997" s="3" t="s">
        <v>264</v>
      </c>
      <c r="H997" s="3" t="s">
        <v>242</v>
      </c>
      <c r="I997" t="b">
        <v>0</v>
      </c>
    </row>
    <row r="998" spans="1:9" ht="15" hidden="1" customHeight="1" x14ac:dyDescent="0.2">
      <c r="A998" s="3" t="s">
        <v>263</v>
      </c>
      <c r="B998" s="5">
        <v>45230</v>
      </c>
      <c r="C998" s="3">
        <v>0.39583333333333331</v>
      </c>
      <c r="D998" s="5">
        <v>45230</v>
      </c>
      <c r="E998" s="3">
        <v>0.4375</v>
      </c>
      <c r="F998" t="b">
        <v>0</v>
      </c>
      <c r="G998" s="3" t="s">
        <v>264</v>
      </c>
      <c r="H998" s="3" t="s">
        <v>242</v>
      </c>
      <c r="I998" t="b">
        <v>0</v>
      </c>
    </row>
    <row r="999" spans="1:9" ht="15" hidden="1" customHeight="1" x14ac:dyDescent="0.2">
      <c r="A999" s="3" t="s">
        <v>263</v>
      </c>
      <c r="B999" s="5">
        <v>45232</v>
      </c>
      <c r="C999" s="3">
        <v>0.35416666666666669</v>
      </c>
      <c r="D999" s="5">
        <v>45232</v>
      </c>
      <c r="E999" s="3">
        <v>0.39583333333333337</v>
      </c>
      <c r="F999" t="b">
        <v>0</v>
      </c>
      <c r="G999" s="3" t="s">
        <v>264</v>
      </c>
      <c r="H999" s="3" t="s">
        <v>242</v>
      </c>
      <c r="I999" t="b">
        <v>0</v>
      </c>
    </row>
    <row r="1000" spans="1:9" ht="15" hidden="1" customHeight="1" x14ac:dyDescent="0.2">
      <c r="A1000" s="3" t="s">
        <v>263</v>
      </c>
      <c r="B1000" s="5">
        <v>45236</v>
      </c>
      <c r="C1000" s="3">
        <v>0.625</v>
      </c>
      <c r="D1000" s="5">
        <v>45236</v>
      </c>
      <c r="E1000" s="3">
        <v>0.66666666666666663</v>
      </c>
      <c r="F1000" t="b">
        <v>0</v>
      </c>
      <c r="G1000" s="3" t="s">
        <v>264</v>
      </c>
      <c r="H1000" s="3" t="s">
        <v>242</v>
      </c>
      <c r="I1000" t="b">
        <v>0</v>
      </c>
    </row>
    <row r="1001" spans="1:9" ht="15" hidden="1" customHeight="1" x14ac:dyDescent="0.2">
      <c r="A1001" s="3" t="s">
        <v>263</v>
      </c>
      <c r="B1001" s="5">
        <v>45237</v>
      </c>
      <c r="C1001" s="3">
        <v>0.39583333333333331</v>
      </c>
      <c r="D1001" s="5">
        <v>45237</v>
      </c>
      <c r="E1001" s="3">
        <v>0.4375</v>
      </c>
      <c r="F1001" t="b">
        <v>0</v>
      </c>
      <c r="G1001" s="3" t="s">
        <v>264</v>
      </c>
      <c r="H1001" s="3" t="s">
        <v>242</v>
      </c>
      <c r="I1001" t="b">
        <v>0</v>
      </c>
    </row>
    <row r="1002" spans="1:9" ht="15" hidden="1" customHeight="1" x14ac:dyDescent="0.2">
      <c r="A1002" s="3" t="s">
        <v>263</v>
      </c>
      <c r="B1002" s="5">
        <v>45239</v>
      </c>
      <c r="C1002" s="3">
        <v>0.35416666666666669</v>
      </c>
      <c r="D1002" s="5">
        <v>45239</v>
      </c>
      <c r="E1002" s="3">
        <v>0.39583333333333337</v>
      </c>
      <c r="F1002" t="b">
        <v>0</v>
      </c>
      <c r="G1002" s="3" t="s">
        <v>264</v>
      </c>
      <c r="H1002" s="3" t="s">
        <v>242</v>
      </c>
      <c r="I1002" t="b">
        <v>0</v>
      </c>
    </row>
    <row r="1003" spans="1:9" ht="15" hidden="1" customHeight="1" x14ac:dyDescent="0.2">
      <c r="A1003" t="s">
        <v>222</v>
      </c>
      <c r="B1003" s="5">
        <v>45194</v>
      </c>
      <c r="C1003" s="3">
        <v>0.47916666666666669</v>
      </c>
      <c r="D1003" s="5">
        <v>45194</v>
      </c>
      <c r="E1003" s="3">
        <v>0.52083333333333337</v>
      </c>
      <c r="F1003" t="b">
        <v>0</v>
      </c>
      <c r="G1003" s="4" t="s">
        <v>223</v>
      </c>
      <c r="H1003" t="s">
        <v>127</v>
      </c>
      <c r="I1003" t="b">
        <v>0</v>
      </c>
    </row>
    <row r="1004" spans="1:9" ht="15" hidden="1" customHeight="1" x14ac:dyDescent="0.2">
      <c r="A1004" s="6" t="s">
        <v>256</v>
      </c>
      <c r="B1004" s="5">
        <v>45195</v>
      </c>
      <c r="C1004" s="3">
        <v>0.39583333333333331</v>
      </c>
      <c r="D1004" s="5">
        <v>45195</v>
      </c>
      <c r="E1004" s="3">
        <v>0.4375</v>
      </c>
      <c r="F1004" t="b">
        <v>0</v>
      </c>
      <c r="G1004" s="6" t="s">
        <v>257</v>
      </c>
      <c r="H1004" t="s">
        <v>258</v>
      </c>
      <c r="I1004" t="b">
        <v>0</v>
      </c>
    </row>
    <row r="1005" spans="1:9" ht="15" hidden="1" customHeight="1" x14ac:dyDescent="0.2">
      <c r="A1005" s="6" t="s">
        <v>256</v>
      </c>
      <c r="B1005" s="5">
        <v>45197</v>
      </c>
      <c r="C1005" s="3">
        <v>0.35416666666666669</v>
      </c>
      <c r="D1005" s="5">
        <v>45197</v>
      </c>
      <c r="E1005" s="3">
        <v>0.39583333333333337</v>
      </c>
      <c r="F1005" t="b">
        <v>0</v>
      </c>
      <c r="G1005" s="6" t="s">
        <v>257</v>
      </c>
      <c r="H1005" t="s">
        <v>258</v>
      </c>
      <c r="I1005" t="b">
        <v>0</v>
      </c>
    </row>
    <row r="1006" spans="1:9" ht="15" hidden="1" customHeight="1" x14ac:dyDescent="0.2">
      <c r="A1006" s="3" t="s">
        <v>256</v>
      </c>
      <c r="B1006" s="5">
        <v>45201</v>
      </c>
      <c r="C1006" s="3">
        <v>0.625</v>
      </c>
      <c r="D1006" s="5">
        <v>45201</v>
      </c>
      <c r="E1006" s="3">
        <v>0.66666666666666663</v>
      </c>
      <c r="F1006" t="b">
        <v>0</v>
      </c>
      <c r="G1006" s="3" t="s">
        <v>257</v>
      </c>
      <c r="H1006" s="3" t="s">
        <v>258</v>
      </c>
      <c r="I1006" t="b">
        <v>0</v>
      </c>
    </row>
    <row r="1007" spans="1:9" ht="15" hidden="1" customHeight="1" x14ac:dyDescent="0.2">
      <c r="A1007" s="3" t="s">
        <v>256</v>
      </c>
      <c r="B1007" s="5">
        <v>45202</v>
      </c>
      <c r="C1007" s="3">
        <v>0.39583333333333331</v>
      </c>
      <c r="D1007" s="5">
        <v>45202</v>
      </c>
      <c r="E1007" s="3">
        <v>0.4375</v>
      </c>
      <c r="F1007" t="b">
        <v>0</v>
      </c>
      <c r="G1007" s="3" t="s">
        <v>257</v>
      </c>
      <c r="H1007" s="3" t="s">
        <v>258</v>
      </c>
      <c r="I1007" t="b">
        <v>0</v>
      </c>
    </row>
    <row r="1008" spans="1:9" ht="15" hidden="1" customHeight="1" x14ac:dyDescent="0.2">
      <c r="A1008" s="3" t="s">
        <v>256</v>
      </c>
      <c r="B1008" s="5">
        <v>45204</v>
      </c>
      <c r="C1008" s="3">
        <v>0.35416666666666669</v>
      </c>
      <c r="D1008" s="5">
        <v>45204</v>
      </c>
      <c r="E1008" s="3">
        <v>0.39583333333333337</v>
      </c>
      <c r="F1008" t="b">
        <v>0</v>
      </c>
      <c r="G1008" s="3" t="s">
        <v>257</v>
      </c>
      <c r="H1008" s="3" t="s">
        <v>258</v>
      </c>
      <c r="I1008" t="b">
        <v>0</v>
      </c>
    </row>
    <row r="1009" spans="1:9" ht="15" hidden="1" customHeight="1" x14ac:dyDescent="0.2">
      <c r="A1009" s="3" t="s">
        <v>256</v>
      </c>
      <c r="B1009" s="5">
        <v>45208</v>
      </c>
      <c r="C1009" s="3">
        <v>0.625</v>
      </c>
      <c r="D1009" s="5">
        <v>45208</v>
      </c>
      <c r="E1009" s="3">
        <v>0.66666666666666663</v>
      </c>
      <c r="F1009" t="b">
        <v>0</v>
      </c>
      <c r="G1009" s="3" t="s">
        <v>257</v>
      </c>
      <c r="H1009" s="3" t="s">
        <v>258</v>
      </c>
      <c r="I1009" t="b">
        <v>0</v>
      </c>
    </row>
    <row r="1010" spans="1:9" ht="15" hidden="1" customHeight="1" x14ac:dyDescent="0.2">
      <c r="A1010" s="3" t="s">
        <v>256</v>
      </c>
      <c r="B1010" s="5">
        <v>45209</v>
      </c>
      <c r="C1010" s="3">
        <v>0.39583333333333331</v>
      </c>
      <c r="D1010" s="5">
        <v>45209</v>
      </c>
      <c r="E1010" s="3">
        <v>0.4375</v>
      </c>
      <c r="F1010" t="b">
        <v>0</v>
      </c>
      <c r="G1010" s="3" t="s">
        <v>257</v>
      </c>
      <c r="H1010" s="3" t="s">
        <v>258</v>
      </c>
      <c r="I1010" t="b">
        <v>0</v>
      </c>
    </row>
    <row r="1011" spans="1:9" ht="15" hidden="1" customHeight="1" x14ac:dyDescent="0.2">
      <c r="A1011" s="3" t="s">
        <v>256</v>
      </c>
      <c r="B1011" s="5">
        <v>45211</v>
      </c>
      <c r="C1011" s="3">
        <v>0.35416666666666669</v>
      </c>
      <c r="D1011" s="5">
        <v>45211</v>
      </c>
      <c r="E1011" s="3">
        <v>0.39583333333333337</v>
      </c>
      <c r="F1011" t="b">
        <v>0</v>
      </c>
      <c r="G1011" s="3" t="s">
        <v>257</v>
      </c>
      <c r="H1011" s="3" t="s">
        <v>258</v>
      </c>
      <c r="I1011" t="b">
        <v>0</v>
      </c>
    </row>
    <row r="1012" spans="1:9" ht="15" hidden="1" customHeight="1" x14ac:dyDescent="0.2">
      <c r="A1012" s="3" t="s">
        <v>256</v>
      </c>
      <c r="B1012" s="5">
        <v>45215</v>
      </c>
      <c r="C1012" s="3">
        <v>0.625</v>
      </c>
      <c r="D1012" s="5">
        <v>45215</v>
      </c>
      <c r="E1012" s="3">
        <v>0.66666666666666663</v>
      </c>
      <c r="F1012" t="b">
        <v>0</v>
      </c>
      <c r="G1012" s="3" t="s">
        <v>257</v>
      </c>
      <c r="H1012" s="3" t="s">
        <v>258</v>
      </c>
      <c r="I1012" t="b">
        <v>0</v>
      </c>
    </row>
    <row r="1013" spans="1:9" ht="15" hidden="1" customHeight="1" x14ac:dyDescent="0.2">
      <c r="A1013" s="3" t="s">
        <v>256</v>
      </c>
      <c r="B1013" s="5">
        <v>45216</v>
      </c>
      <c r="C1013" s="3">
        <v>0.39583333333333331</v>
      </c>
      <c r="D1013" s="5">
        <v>45216</v>
      </c>
      <c r="E1013" s="3">
        <v>0.4375</v>
      </c>
      <c r="F1013" t="b">
        <v>0</v>
      </c>
      <c r="G1013" s="3" t="s">
        <v>257</v>
      </c>
      <c r="H1013" s="3" t="s">
        <v>258</v>
      </c>
      <c r="I1013" t="b">
        <v>0</v>
      </c>
    </row>
    <row r="1014" spans="1:9" ht="15" hidden="1" customHeight="1" x14ac:dyDescent="0.2">
      <c r="A1014" s="3" t="s">
        <v>256</v>
      </c>
      <c r="B1014" s="5">
        <v>45218</v>
      </c>
      <c r="C1014" s="3">
        <v>0.35416666666666669</v>
      </c>
      <c r="D1014" s="5">
        <v>45218</v>
      </c>
      <c r="E1014" s="3">
        <v>0.39583333333333337</v>
      </c>
      <c r="F1014" t="b">
        <v>0</v>
      </c>
      <c r="G1014" s="3" t="s">
        <v>257</v>
      </c>
      <c r="H1014" s="3" t="s">
        <v>258</v>
      </c>
      <c r="I1014" t="b">
        <v>0</v>
      </c>
    </row>
    <row r="1015" spans="1:9" ht="15" hidden="1" customHeight="1" x14ac:dyDescent="0.2">
      <c r="A1015" s="3" t="s">
        <v>256</v>
      </c>
      <c r="B1015" s="5">
        <v>45222</v>
      </c>
      <c r="C1015" s="3">
        <v>0.625</v>
      </c>
      <c r="D1015" s="5">
        <v>45222</v>
      </c>
      <c r="E1015" s="3">
        <v>0.66666666666666663</v>
      </c>
      <c r="F1015" t="b">
        <v>0</v>
      </c>
      <c r="G1015" s="3" t="s">
        <v>257</v>
      </c>
      <c r="H1015" s="3" t="s">
        <v>258</v>
      </c>
      <c r="I1015" t="b">
        <v>0</v>
      </c>
    </row>
    <row r="1016" spans="1:9" ht="15" hidden="1" customHeight="1" x14ac:dyDescent="0.2">
      <c r="A1016" s="3" t="s">
        <v>256</v>
      </c>
      <c r="B1016" s="5">
        <v>45223</v>
      </c>
      <c r="C1016" s="3">
        <v>0.39583333333333331</v>
      </c>
      <c r="D1016" s="5">
        <v>45223</v>
      </c>
      <c r="E1016" s="3">
        <v>0.4375</v>
      </c>
      <c r="F1016" t="b">
        <v>0</v>
      </c>
      <c r="G1016" s="3" t="s">
        <v>257</v>
      </c>
      <c r="H1016" s="3" t="s">
        <v>258</v>
      </c>
      <c r="I1016" t="b">
        <v>0</v>
      </c>
    </row>
    <row r="1017" spans="1:9" ht="15" hidden="1" customHeight="1" x14ac:dyDescent="0.2">
      <c r="A1017" s="3" t="s">
        <v>256</v>
      </c>
      <c r="B1017" s="5">
        <v>45225</v>
      </c>
      <c r="C1017" s="3">
        <v>0.35416666666666669</v>
      </c>
      <c r="D1017" s="5">
        <v>45225</v>
      </c>
      <c r="E1017" s="3">
        <v>0.39583333333333337</v>
      </c>
      <c r="F1017" t="b">
        <v>0</v>
      </c>
      <c r="G1017" s="3" t="s">
        <v>257</v>
      </c>
      <c r="H1017" s="3" t="s">
        <v>258</v>
      </c>
      <c r="I1017" t="b">
        <v>0</v>
      </c>
    </row>
    <row r="1018" spans="1:9" ht="15" hidden="1" customHeight="1" x14ac:dyDescent="0.2">
      <c r="A1018" s="3" t="s">
        <v>256</v>
      </c>
      <c r="B1018" s="5">
        <v>45229</v>
      </c>
      <c r="C1018" s="3">
        <v>0.625</v>
      </c>
      <c r="D1018" s="5">
        <v>45229</v>
      </c>
      <c r="E1018" s="3">
        <v>0.66666666666666663</v>
      </c>
      <c r="F1018" t="b">
        <v>0</v>
      </c>
      <c r="G1018" s="3" t="s">
        <v>257</v>
      </c>
      <c r="H1018" s="3" t="s">
        <v>258</v>
      </c>
      <c r="I1018" t="b">
        <v>0</v>
      </c>
    </row>
    <row r="1019" spans="1:9" ht="15" hidden="1" customHeight="1" x14ac:dyDescent="0.2">
      <c r="A1019" s="3" t="s">
        <v>256</v>
      </c>
      <c r="B1019" s="5">
        <v>45230</v>
      </c>
      <c r="C1019" s="3">
        <v>0.39583333333333331</v>
      </c>
      <c r="D1019" s="5">
        <v>45230</v>
      </c>
      <c r="E1019" s="3">
        <v>0.4375</v>
      </c>
      <c r="F1019" t="b">
        <v>0</v>
      </c>
      <c r="G1019" s="3" t="s">
        <v>257</v>
      </c>
      <c r="H1019" s="3" t="s">
        <v>258</v>
      </c>
      <c r="I1019" t="b">
        <v>0</v>
      </c>
    </row>
    <row r="1020" spans="1:9" ht="15" hidden="1" customHeight="1" x14ac:dyDescent="0.2">
      <c r="A1020" s="3" t="s">
        <v>256</v>
      </c>
      <c r="B1020" s="5">
        <v>45232</v>
      </c>
      <c r="C1020" s="3">
        <v>0.35416666666666669</v>
      </c>
      <c r="D1020" s="5">
        <v>45232</v>
      </c>
      <c r="E1020" s="3">
        <v>0.39583333333333337</v>
      </c>
      <c r="F1020" t="b">
        <v>0</v>
      </c>
      <c r="G1020" s="3" t="s">
        <v>257</v>
      </c>
      <c r="H1020" s="3" t="s">
        <v>258</v>
      </c>
      <c r="I1020" t="b">
        <v>0</v>
      </c>
    </row>
    <row r="1021" spans="1:9" ht="15" hidden="1" customHeight="1" x14ac:dyDescent="0.2">
      <c r="A1021" s="3" t="s">
        <v>256</v>
      </c>
      <c r="B1021" s="5">
        <v>45236</v>
      </c>
      <c r="C1021" s="3">
        <v>0.625</v>
      </c>
      <c r="D1021" s="5">
        <v>45236</v>
      </c>
      <c r="E1021" s="3">
        <v>0.66666666666666663</v>
      </c>
      <c r="F1021" t="b">
        <v>0</v>
      </c>
      <c r="G1021" s="3" t="s">
        <v>257</v>
      </c>
      <c r="H1021" s="3" t="s">
        <v>258</v>
      </c>
      <c r="I1021" t="b">
        <v>0</v>
      </c>
    </row>
    <row r="1022" spans="1:9" ht="15" hidden="1" customHeight="1" x14ac:dyDescent="0.2">
      <c r="A1022" s="3" t="s">
        <v>256</v>
      </c>
      <c r="B1022" s="5">
        <v>45237</v>
      </c>
      <c r="C1022" s="3">
        <v>0.39583333333333331</v>
      </c>
      <c r="D1022" s="5">
        <v>45237</v>
      </c>
      <c r="E1022" s="3">
        <v>0.4375</v>
      </c>
      <c r="F1022" t="b">
        <v>0</v>
      </c>
      <c r="G1022" s="3" t="s">
        <v>257</v>
      </c>
      <c r="H1022" s="3" t="s">
        <v>258</v>
      </c>
      <c r="I1022" t="b">
        <v>0</v>
      </c>
    </row>
    <row r="1023" spans="1:9" ht="15" hidden="1" customHeight="1" x14ac:dyDescent="0.2">
      <c r="A1023" s="3" t="s">
        <v>256</v>
      </c>
      <c r="B1023" s="5">
        <v>45239</v>
      </c>
      <c r="C1023" s="3">
        <v>0.35416666666666669</v>
      </c>
      <c r="D1023" s="5">
        <v>45239</v>
      </c>
      <c r="E1023" s="3">
        <v>0.39583333333333337</v>
      </c>
      <c r="F1023" t="b">
        <v>0</v>
      </c>
      <c r="G1023" s="3" t="s">
        <v>257</v>
      </c>
      <c r="H1023" s="3" t="s">
        <v>258</v>
      </c>
      <c r="I1023" t="b">
        <v>0</v>
      </c>
    </row>
    <row r="1024" spans="1:9" ht="15" hidden="1" customHeight="1" x14ac:dyDescent="0.2">
      <c r="A1024" t="s">
        <v>222</v>
      </c>
      <c r="B1024" s="5">
        <v>45194</v>
      </c>
      <c r="C1024" s="3">
        <v>0.47916666666666669</v>
      </c>
      <c r="D1024" s="5">
        <v>45194</v>
      </c>
      <c r="E1024" s="3">
        <v>0.52083333333333337</v>
      </c>
      <c r="F1024" t="b">
        <v>0</v>
      </c>
      <c r="G1024" s="4" t="s">
        <v>223</v>
      </c>
      <c r="H1024" t="s">
        <v>224</v>
      </c>
      <c r="I1024" t="b">
        <v>0</v>
      </c>
    </row>
    <row r="1025" spans="1:9" ht="15" hidden="1" customHeight="1" x14ac:dyDescent="0.2">
      <c r="A1025" s="6" t="s">
        <v>269</v>
      </c>
      <c r="B1025" s="5">
        <v>45196</v>
      </c>
      <c r="C1025" s="3">
        <v>0.66666666666666663</v>
      </c>
      <c r="D1025" s="5">
        <v>45196</v>
      </c>
      <c r="E1025" s="3">
        <v>0.70833333333333326</v>
      </c>
      <c r="F1025" t="b">
        <v>0</v>
      </c>
      <c r="G1025" s="8" t="s">
        <v>270</v>
      </c>
      <c r="H1025" t="s">
        <v>243</v>
      </c>
      <c r="I1025" t="b">
        <v>0</v>
      </c>
    </row>
    <row r="1026" spans="1:9" ht="15" hidden="1" customHeight="1" x14ac:dyDescent="0.2">
      <c r="A1026" s="6" t="s">
        <v>269</v>
      </c>
      <c r="B1026" s="5">
        <v>45198</v>
      </c>
      <c r="C1026" s="3">
        <v>0.58333333333333337</v>
      </c>
      <c r="D1026" s="5">
        <v>45198</v>
      </c>
      <c r="E1026" s="3">
        <v>0.625</v>
      </c>
      <c r="F1026" t="b">
        <v>0</v>
      </c>
      <c r="G1026" s="8" t="s">
        <v>270</v>
      </c>
      <c r="H1026" t="s">
        <v>243</v>
      </c>
      <c r="I1026" t="b">
        <v>0</v>
      </c>
    </row>
    <row r="1027" spans="1:9" ht="15" hidden="1" customHeight="1" x14ac:dyDescent="0.2">
      <c r="A1027" s="3" t="s">
        <v>269</v>
      </c>
      <c r="B1027" s="5">
        <v>45201</v>
      </c>
      <c r="C1027" s="3">
        <v>0.70833333333333337</v>
      </c>
      <c r="D1027" s="5">
        <v>45201</v>
      </c>
      <c r="E1027" s="3">
        <v>0.75</v>
      </c>
      <c r="F1027" t="b">
        <v>0</v>
      </c>
      <c r="G1027" s="3" t="s">
        <v>270</v>
      </c>
      <c r="H1027" s="3" t="s">
        <v>243</v>
      </c>
      <c r="I1027" t="b">
        <v>0</v>
      </c>
    </row>
    <row r="1028" spans="1:9" ht="15" hidden="1" customHeight="1" x14ac:dyDescent="0.2">
      <c r="A1028" s="3" t="s">
        <v>269</v>
      </c>
      <c r="B1028" s="5">
        <v>45203</v>
      </c>
      <c r="C1028" s="3">
        <v>0.66666666666666663</v>
      </c>
      <c r="D1028" s="5">
        <v>45203</v>
      </c>
      <c r="E1028" s="3">
        <v>0.70833333333333326</v>
      </c>
      <c r="F1028" t="b">
        <v>0</v>
      </c>
      <c r="G1028" s="3" t="s">
        <v>270</v>
      </c>
      <c r="H1028" s="3" t="s">
        <v>243</v>
      </c>
      <c r="I1028" t="b">
        <v>0</v>
      </c>
    </row>
    <row r="1029" spans="1:9" ht="15" hidden="1" customHeight="1" x14ac:dyDescent="0.2">
      <c r="A1029" s="3" t="s">
        <v>269</v>
      </c>
      <c r="B1029" s="5">
        <v>45205</v>
      </c>
      <c r="C1029" s="3">
        <v>0.58333333333333337</v>
      </c>
      <c r="D1029" s="5">
        <v>45205</v>
      </c>
      <c r="E1029" s="3">
        <v>0.625</v>
      </c>
      <c r="F1029" t="b">
        <v>0</v>
      </c>
      <c r="G1029" s="3" t="s">
        <v>270</v>
      </c>
      <c r="H1029" s="3" t="s">
        <v>243</v>
      </c>
      <c r="I1029" t="b">
        <v>0</v>
      </c>
    </row>
    <row r="1030" spans="1:9" ht="15" hidden="1" customHeight="1" x14ac:dyDescent="0.2">
      <c r="A1030" s="3" t="s">
        <v>269</v>
      </c>
      <c r="B1030" s="5">
        <v>45208</v>
      </c>
      <c r="C1030" s="3">
        <v>0.70833333333333337</v>
      </c>
      <c r="D1030" s="5">
        <v>45208</v>
      </c>
      <c r="E1030" s="3">
        <v>0.75</v>
      </c>
      <c r="F1030" t="b">
        <v>0</v>
      </c>
      <c r="G1030" s="3" t="s">
        <v>270</v>
      </c>
      <c r="H1030" s="3" t="s">
        <v>243</v>
      </c>
      <c r="I1030" t="b">
        <v>0</v>
      </c>
    </row>
    <row r="1031" spans="1:9" ht="15" hidden="1" customHeight="1" x14ac:dyDescent="0.2">
      <c r="A1031" s="3" t="s">
        <v>269</v>
      </c>
      <c r="B1031" s="5">
        <v>45210</v>
      </c>
      <c r="C1031" s="3">
        <v>0.66666666666666663</v>
      </c>
      <c r="D1031" s="5">
        <v>45210</v>
      </c>
      <c r="E1031" s="3">
        <v>0.70833333333333326</v>
      </c>
      <c r="F1031" t="b">
        <v>0</v>
      </c>
      <c r="G1031" s="3" t="s">
        <v>270</v>
      </c>
      <c r="H1031" s="3" t="s">
        <v>243</v>
      </c>
      <c r="I1031" t="b">
        <v>0</v>
      </c>
    </row>
    <row r="1032" spans="1:9" ht="15" hidden="1" customHeight="1" x14ac:dyDescent="0.2">
      <c r="A1032" s="3" t="s">
        <v>269</v>
      </c>
      <c r="B1032" s="5">
        <v>45212</v>
      </c>
      <c r="C1032" s="3">
        <v>0.58333333333333337</v>
      </c>
      <c r="D1032" s="5">
        <v>45212</v>
      </c>
      <c r="E1032" s="3">
        <v>0.625</v>
      </c>
      <c r="F1032" t="b">
        <v>0</v>
      </c>
      <c r="G1032" s="3" t="s">
        <v>270</v>
      </c>
      <c r="H1032" s="3" t="s">
        <v>243</v>
      </c>
      <c r="I1032" t="b">
        <v>0</v>
      </c>
    </row>
    <row r="1033" spans="1:9" ht="15" hidden="1" customHeight="1" x14ac:dyDescent="0.2">
      <c r="A1033" s="3" t="s">
        <v>269</v>
      </c>
      <c r="B1033" s="5">
        <v>45215</v>
      </c>
      <c r="C1033" s="3">
        <v>0.70833333333333337</v>
      </c>
      <c r="D1033" s="5">
        <v>45215</v>
      </c>
      <c r="E1033" s="3">
        <v>0.75</v>
      </c>
      <c r="F1033" t="b">
        <v>0</v>
      </c>
      <c r="G1033" s="3" t="s">
        <v>270</v>
      </c>
      <c r="H1033" s="3" t="s">
        <v>243</v>
      </c>
      <c r="I1033" t="b">
        <v>0</v>
      </c>
    </row>
    <row r="1034" spans="1:9" ht="15" hidden="1" customHeight="1" x14ac:dyDescent="0.2">
      <c r="A1034" s="3" t="s">
        <v>269</v>
      </c>
      <c r="B1034" s="5">
        <v>45217</v>
      </c>
      <c r="C1034" s="3">
        <v>0.66666666666666663</v>
      </c>
      <c r="D1034" s="5">
        <v>45217</v>
      </c>
      <c r="E1034" s="3">
        <v>0.70833333333333326</v>
      </c>
      <c r="F1034" t="b">
        <v>0</v>
      </c>
      <c r="G1034" s="3" t="s">
        <v>270</v>
      </c>
      <c r="H1034" s="3" t="s">
        <v>243</v>
      </c>
      <c r="I1034" t="b">
        <v>0</v>
      </c>
    </row>
    <row r="1035" spans="1:9" ht="15" hidden="1" customHeight="1" x14ac:dyDescent="0.2">
      <c r="A1035" s="3" t="s">
        <v>269</v>
      </c>
      <c r="B1035" s="5">
        <v>45219</v>
      </c>
      <c r="C1035" s="3">
        <v>0.58333333333333337</v>
      </c>
      <c r="D1035" s="5">
        <v>45219</v>
      </c>
      <c r="E1035" s="3">
        <v>0.625</v>
      </c>
      <c r="F1035" t="b">
        <v>0</v>
      </c>
      <c r="G1035" s="3" t="s">
        <v>270</v>
      </c>
      <c r="H1035" s="3" t="s">
        <v>243</v>
      </c>
      <c r="I1035" t="b">
        <v>0</v>
      </c>
    </row>
    <row r="1036" spans="1:9" ht="15" hidden="1" customHeight="1" x14ac:dyDescent="0.2">
      <c r="A1036" s="3" t="s">
        <v>269</v>
      </c>
      <c r="B1036" s="5">
        <v>45222</v>
      </c>
      <c r="C1036" s="3">
        <v>0.70833333333333337</v>
      </c>
      <c r="D1036" s="5">
        <v>45222</v>
      </c>
      <c r="E1036" s="3">
        <v>0.75</v>
      </c>
      <c r="F1036" t="b">
        <v>0</v>
      </c>
      <c r="G1036" s="3" t="s">
        <v>270</v>
      </c>
      <c r="H1036" s="3" t="s">
        <v>243</v>
      </c>
      <c r="I1036" t="b">
        <v>0</v>
      </c>
    </row>
    <row r="1037" spans="1:9" ht="15" hidden="1" customHeight="1" x14ac:dyDescent="0.2">
      <c r="A1037" s="3" t="s">
        <v>269</v>
      </c>
      <c r="B1037" s="5">
        <v>45224</v>
      </c>
      <c r="C1037" s="3">
        <v>0.66666666666666663</v>
      </c>
      <c r="D1037" s="5">
        <v>45224</v>
      </c>
      <c r="E1037" s="3">
        <v>0.70833333333333326</v>
      </c>
      <c r="F1037" t="b">
        <v>0</v>
      </c>
      <c r="G1037" s="3" t="s">
        <v>270</v>
      </c>
      <c r="H1037" s="3" t="s">
        <v>243</v>
      </c>
      <c r="I1037" t="b">
        <v>0</v>
      </c>
    </row>
    <row r="1038" spans="1:9" ht="15" hidden="1" customHeight="1" x14ac:dyDescent="0.2">
      <c r="A1038" s="3" t="s">
        <v>269</v>
      </c>
      <c r="B1038" s="5">
        <v>45226</v>
      </c>
      <c r="C1038" s="3">
        <v>0.58333333333333337</v>
      </c>
      <c r="D1038" s="5">
        <v>45226</v>
      </c>
      <c r="E1038" s="3">
        <v>0.625</v>
      </c>
      <c r="F1038" t="b">
        <v>0</v>
      </c>
      <c r="G1038" s="3" t="s">
        <v>270</v>
      </c>
      <c r="H1038" s="3" t="s">
        <v>243</v>
      </c>
      <c r="I1038" t="b">
        <v>0</v>
      </c>
    </row>
    <row r="1039" spans="1:9" ht="15" hidden="1" customHeight="1" x14ac:dyDescent="0.2">
      <c r="A1039" s="3" t="s">
        <v>269</v>
      </c>
      <c r="B1039" s="5">
        <v>45229</v>
      </c>
      <c r="C1039" s="3">
        <v>0.70833333333333337</v>
      </c>
      <c r="D1039" s="5">
        <v>45229</v>
      </c>
      <c r="E1039" s="3">
        <v>0.75</v>
      </c>
      <c r="F1039" t="b">
        <v>0</v>
      </c>
      <c r="G1039" s="3" t="s">
        <v>270</v>
      </c>
      <c r="H1039" s="3" t="s">
        <v>243</v>
      </c>
      <c r="I1039" t="b">
        <v>0</v>
      </c>
    </row>
    <row r="1040" spans="1:9" ht="15" hidden="1" customHeight="1" x14ac:dyDescent="0.2">
      <c r="A1040" s="3" t="s">
        <v>269</v>
      </c>
      <c r="B1040" s="5">
        <v>45231</v>
      </c>
      <c r="C1040" s="3">
        <v>0.66666666666666663</v>
      </c>
      <c r="D1040" s="5">
        <v>45231</v>
      </c>
      <c r="E1040" s="3">
        <v>0.70833333333333326</v>
      </c>
      <c r="F1040" t="b">
        <v>0</v>
      </c>
      <c r="G1040" s="3" t="s">
        <v>270</v>
      </c>
      <c r="H1040" s="3" t="s">
        <v>243</v>
      </c>
      <c r="I1040" t="b">
        <v>0</v>
      </c>
    </row>
    <row r="1041" spans="1:9" ht="15" hidden="1" customHeight="1" x14ac:dyDescent="0.2">
      <c r="A1041" s="3" t="s">
        <v>269</v>
      </c>
      <c r="B1041" s="5">
        <v>45233</v>
      </c>
      <c r="C1041" s="3">
        <v>0.58333333333333337</v>
      </c>
      <c r="D1041" s="5">
        <v>45233</v>
      </c>
      <c r="E1041" s="3">
        <v>0.625</v>
      </c>
      <c r="F1041" t="b">
        <v>0</v>
      </c>
      <c r="G1041" s="3" t="s">
        <v>270</v>
      </c>
      <c r="H1041" s="3" t="s">
        <v>243</v>
      </c>
      <c r="I1041" t="b">
        <v>0</v>
      </c>
    </row>
    <row r="1042" spans="1:9" ht="15" hidden="1" customHeight="1" x14ac:dyDescent="0.2">
      <c r="A1042" s="3" t="s">
        <v>269</v>
      </c>
      <c r="B1042" s="5">
        <v>45236</v>
      </c>
      <c r="C1042" s="3">
        <v>0.70833333333333337</v>
      </c>
      <c r="D1042" s="5">
        <v>45236</v>
      </c>
      <c r="E1042" s="3">
        <v>0.75</v>
      </c>
      <c r="F1042" t="b">
        <v>0</v>
      </c>
      <c r="G1042" s="3" t="s">
        <v>270</v>
      </c>
      <c r="H1042" s="3" t="s">
        <v>243</v>
      </c>
      <c r="I1042" t="b">
        <v>0</v>
      </c>
    </row>
    <row r="1043" spans="1:9" ht="15" hidden="1" customHeight="1" x14ac:dyDescent="0.2">
      <c r="A1043" s="3" t="s">
        <v>269</v>
      </c>
      <c r="B1043" s="5">
        <v>45238</v>
      </c>
      <c r="C1043" s="3">
        <v>0.66666666666666663</v>
      </c>
      <c r="D1043" s="5">
        <v>45238</v>
      </c>
      <c r="E1043" s="3">
        <v>0.70833333333333326</v>
      </c>
      <c r="F1043" t="b">
        <v>0</v>
      </c>
      <c r="G1043" s="3" t="s">
        <v>270</v>
      </c>
      <c r="H1043" s="3" t="s">
        <v>243</v>
      </c>
      <c r="I1043" t="b">
        <v>0</v>
      </c>
    </row>
    <row r="1044" spans="1:9" ht="15" hidden="1" customHeight="1" x14ac:dyDescent="0.2">
      <c r="A1044" s="3" t="s">
        <v>269</v>
      </c>
      <c r="B1044" s="5">
        <v>45240</v>
      </c>
      <c r="C1044" s="3">
        <v>0.58333333333333337</v>
      </c>
      <c r="D1044" s="5">
        <v>45240</v>
      </c>
      <c r="E1044" s="3">
        <v>0.625</v>
      </c>
      <c r="F1044" t="b">
        <v>0</v>
      </c>
      <c r="G1044" s="3" t="s">
        <v>270</v>
      </c>
      <c r="H1044" s="3" t="s">
        <v>243</v>
      </c>
      <c r="I1044" t="b">
        <v>0</v>
      </c>
    </row>
    <row r="1045" spans="1:9" ht="15" hidden="1" customHeight="1" x14ac:dyDescent="0.2">
      <c r="A1045" t="s">
        <v>138</v>
      </c>
      <c r="B1045" s="5">
        <v>45194</v>
      </c>
      <c r="C1045" s="3">
        <v>0.47916666666666669</v>
      </c>
      <c r="D1045" s="5">
        <v>45194</v>
      </c>
      <c r="E1045" s="3">
        <v>0.52083333333333337</v>
      </c>
      <c r="F1045" t="b">
        <v>0</v>
      </c>
      <c r="G1045" s="4" t="s">
        <v>139</v>
      </c>
      <c r="H1045" t="s">
        <v>132</v>
      </c>
      <c r="I1045" t="b">
        <v>0</v>
      </c>
    </row>
    <row r="1046" spans="1:9" ht="15" hidden="1" customHeight="1" x14ac:dyDescent="0.2">
      <c r="A1046" t="s">
        <v>220</v>
      </c>
      <c r="B1046" s="5">
        <v>45196</v>
      </c>
      <c r="C1046" s="3">
        <v>0.39583333333333331</v>
      </c>
      <c r="D1046" s="5">
        <v>45196</v>
      </c>
      <c r="E1046" s="3">
        <v>0.4375</v>
      </c>
      <c r="F1046" t="b">
        <v>0</v>
      </c>
      <c r="G1046" s="4" t="s">
        <v>221</v>
      </c>
      <c r="H1046" t="s">
        <v>127</v>
      </c>
      <c r="I1046" t="b">
        <v>0</v>
      </c>
    </row>
    <row r="1047" spans="1:9" ht="15" hidden="1" customHeight="1" x14ac:dyDescent="0.2">
      <c r="A1047" t="s">
        <v>220</v>
      </c>
      <c r="B1047" s="5">
        <v>45197</v>
      </c>
      <c r="C1047" s="3">
        <v>0.47916666666666669</v>
      </c>
      <c r="D1047" s="5">
        <v>45197</v>
      </c>
      <c r="E1047" s="3">
        <v>0.52083333333333337</v>
      </c>
      <c r="F1047" t="b">
        <v>0</v>
      </c>
      <c r="G1047" s="4" t="s">
        <v>221</v>
      </c>
      <c r="H1047" t="s">
        <v>127</v>
      </c>
      <c r="I1047" t="b">
        <v>0</v>
      </c>
    </row>
    <row r="1048" spans="1:9" ht="15" hidden="1" customHeight="1" x14ac:dyDescent="0.2">
      <c r="A1048" t="s">
        <v>220</v>
      </c>
      <c r="B1048" s="5">
        <v>45198</v>
      </c>
      <c r="C1048" s="3">
        <v>0.4375</v>
      </c>
      <c r="D1048" s="5">
        <v>45198</v>
      </c>
      <c r="E1048" s="3">
        <v>0.47916666666666669</v>
      </c>
      <c r="F1048" t="b">
        <v>0</v>
      </c>
      <c r="G1048" s="4" t="s">
        <v>221</v>
      </c>
      <c r="H1048" t="s">
        <v>127</v>
      </c>
      <c r="I1048" t="b">
        <v>0</v>
      </c>
    </row>
    <row r="1049" spans="1:9" ht="15" hidden="1" customHeight="1" x14ac:dyDescent="0.2">
      <c r="A1049" t="s">
        <v>220</v>
      </c>
      <c r="B1049" s="5">
        <v>45201</v>
      </c>
      <c r="C1049" s="3">
        <v>0.35416666666666669</v>
      </c>
      <c r="D1049" s="5">
        <v>45201</v>
      </c>
      <c r="E1049" s="3">
        <v>0.39583333333333337</v>
      </c>
      <c r="F1049" t="b">
        <v>0</v>
      </c>
      <c r="G1049" s="4" t="s">
        <v>221</v>
      </c>
      <c r="H1049" t="s">
        <v>127</v>
      </c>
      <c r="I1049" t="b">
        <v>0</v>
      </c>
    </row>
    <row r="1050" spans="1:9" ht="15" hidden="1" customHeight="1" x14ac:dyDescent="0.2">
      <c r="A1050" t="s">
        <v>220</v>
      </c>
      <c r="B1050" s="5">
        <v>45203</v>
      </c>
      <c r="C1050" s="3">
        <v>0.39583333333333331</v>
      </c>
      <c r="D1050" s="5">
        <v>45203</v>
      </c>
      <c r="E1050" s="3">
        <v>0.4375</v>
      </c>
      <c r="F1050" t="b">
        <v>0</v>
      </c>
      <c r="G1050" s="4" t="s">
        <v>221</v>
      </c>
      <c r="H1050" t="s">
        <v>127</v>
      </c>
      <c r="I1050" t="b">
        <v>0</v>
      </c>
    </row>
    <row r="1051" spans="1:9" ht="15" hidden="1" customHeight="1" x14ac:dyDescent="0.2">
      <c r="A1051" t="s">
        <v>220</v>
      </c>
      <c r="B1051" s="5">
        <v>45204</v>
      </c>
      <c r="C1051" s="3">
        <v>0.47916666666666669</v>
      </c>
      <c r="D1051" s="5">
        <v>45204</v>
      </c>
      <c r="E1051" s="3">
        <v>0.52083333333333337</v>
      </c>
      <c r="F1051" t="b">
        <v>0</v>
      </c>
      <c r="G1051" s="4" t="s">
        <v>221</v>
      </c>
      <c r="H1051" t="s">
        <v>127</v>
      </c>
      <c r="I1051" t="b">
        <v>0</v>
      </c>
    </row>
    <row r="1052" spans="1:9" ht="15" hidden="1" customHeight="1" x14ac:dyDescent="0.2">
      <c r="A1052" t="s">
        <v>220</v>
      </c>
      <c r="B1052" s="5">
        <v>45205</v>
      </c>
      <c r="C1052" s="3">
        <v>0.4375</v>
      </c>
      <c r="D1052" s="5">
        <v>45205</v>
      </c>
      <c r="E1052" s="3">
        <v>0.47916666666666669</v>
      </c>
      <c r="F1052" t="b">
        <v>0</v>
      </c>
      <c r="G1052" s="4" t="s">
        <v>221</v>
      </c>
      <c r="H1052" t="s">
        <v>127</v>
      </c>
      <c r="I1052" t="b">
        <v>0</v>
      </c>
    </row>
    <row r="1053" spans="1:9" ht="15" hidden="1" customHeight="1" x14ac:dyDescent="0.2">
      <c r="A1053" t="s">
        <v>220</v>
      </c>
      <c r="B1053" s="5">
        <v>45208</v>
      </c>
      <c r="C1053" s="3">
        <v>0.35416666666666669</v>
      </c>
      <c r="D1053" s="5">
        <v>45208</v>
      </c>
      <c r="E1053" s="3">
        <v>0.39583333333333337</v>
      </c>
      <c r="F1053" t="b">
        <v>0</v>
      </c>
      <c r="G1053" s="4" t="s">
        <v>221</v>
      </c>
      <c r="H1053" t="s">
        <v>127</v>
      </c>
      <c r="I1053" t="b">
        <v>0</v>
      </c>
    </row>
    <row r="1054" spans="1:9" ht="15" hidden="1" customHeight="1" x14ac:dyDescent="0.2">
      <c r="A1054" t="s">
        <v>220</v>
      </c>
      <c r="B1054" s="5">
        <v>45210</v>
      </c>
      <c r="C1054" s="3">
        <v>0.39583333333333331</v>
      </c>
      <c r="D1054" s="5">
        <v>45210</v>
      </c>
      <c r="E1054" s="3">
        <v>0.4375</v>
      </c>
      <c r="F1054" t="b">
        <v>0</v>
      </c>
      <c r="G1054" s="4" t="s">
        <v>221</v>
      </c>
      <c r="H1054" t="s">
        <v>127</v>
      </c>
      <c r="I1054" t="b">
        <v>0</v>
      </c>
    </row>
    <row r="1055" spans="1:9" ht="15" hidden="1" customHeight="1" x14ac:dyDescent="0.2">
      <c r="A1055" t="s">
        <v>220</v>
      </c>
      <c r="B1055" s="5">
        <v>45211</v>
      </c>
      <c r="C1055" s="3">
        <v>0.47916666666666669</v>
      </c>
      <c r="D1055" s="5">
        <v>45211</v>
      </c>
      <c r="E1055" s="3">
        <v>0.52083333333333337</v>
      </c>
      <c r="F1055" t="b">
        <v>0</v>
      </c>
      <c r="G1055" s="4" t="s">
        <v>221</v>
      </c>
      <c r="H1055" t="s">
        <v>127</v>
      </c>
      <c r="I1055" t="b">
        <v>0</v>
      </c>
    </row>
    <row r="1056" spans="1:9" ht="15" hidden="1" customHeight="1" x14ac:dyDescent="0.2">
      <c r="A1056" t="s">
        <v>220</v>
      </c>
      <c r="B1056" s="5">
        <v>45212</v>
      </c>
      <c r="C1056" s="3">
        <v>0.4375</v>
      </c>
      <c r="D1056" s="5">
        <v>45212</v>
      </c>
      <c r="E1056" s="3">
        <v>0.47916666666666669</v>
      </c>
      <c r="F1056" t="b">
        <v>0</v>
      </c>
      <c r="G1056" s="4" t="s">
        <v>221</v>
      </c>
      <c r="H1056" t="s">
        <v>127</v>
      </c>
      <c r="I1056" t="b">
        <v>0</v>
      </c>
    </row>
    <row r="1057" spans="1:9" ht="15" hidden="1" customHeight="1" x14ac:dyDescent="0.2">
      <c r="A1057" t="s">
        <v>220</v>
      </c>
      <c r="B1057" s="5">
        <v>45215</v>
      </c>
      <c r="C1057" s="3">
        <v>0.35416666666666669</v>
      </c>
      <c r="D1057" s="5">
        <v>45215</v>
      </c>
      <c r="E1057" s="3">
        <v>0.39583333333333337</v>
      </c>
      <c r="F1057" t="b">
        <v>0</v>
      </c>
      <c r="G1057" s="4" t="s">
        <v>221</v>
      </c>
      <c r="H1057" t="s">
        <v>127</v>
      </c>
      <c r="I1057" t="b">
        <v>0</v>
      </c>
    </row>
    <row r="1058" spans="1:9" ht="15" hidden="1" customHeight="1" x14ac:dyDescent="0.2">
      <c r="A1058" t="s">
        <v>220</v>
      </c>
      <c r="B1058" s="5">
        <v>45217</v>
      </c>
      <c r="C1058" s="3">
        <v>0.39583333333333331</v>
      </c>
      <c r="D1058" s="5">
        <v>45217</v>
      </c>
      <c r="E1058" s="3">
        <v>0.4375</v>
      </c>
      <c r="F1058" t="b">
        <v>0</v>
      </c>
      <c r="G1058" s="4" t="s">
        <v>221</v>
      </c>
      <c r="H1058" t="s">
        <v>127</v>
      </c>
      <c r="I1058" t="b">
        <v>0</v>
      </c>
    </row>
    <row r="1059" spans="1:9" ht="15" hidden="1" customHeight="1" x14ac:dyDescent="0.2">
      <c r="A1059" t="s">
        <v>220</v>
      </c>
      <c r="B1059" s="5">
        <v>45218</v>
      </c>
      <c r="C1059" s="3">
        <v>0.47916666666666669</v>
      </c>
      <c r="D1059" s="5">
        <v>45218</v>
      </c>
      <c r="E1059" s="3">
        <v>0.52083333333333337</v>
      </c>
      <c r="F1059" t="b">
        <v>0</v>
      </c>
      <c r="G1059" s="4" t="s">
        <v>221</v>
      </c>
      <c r="H1059" t="s">
        <v>127</v>
      </c>
      <c r="I1059" t="b">
        <v>0</v>
      </c>
    </row>
    <row r="1060" spans="1:9" ht="15" hidden="1" customHeight="1" x14ac:dyDescent="0.2">
      <c r="A1060" t="s">
        <v>220</v>
      </c>
      <c r="B1060" s="5">
        <v>45219</v>
      </c>
      <c r="C1060" s="3">
        <v>0.4375</v>
      </c>
      <c r="D1060" s="5">
        <v>45219</v>
      </c>
      <c r="E1060" s="3">
        <v>0.47916666666666669</v>
      </c>
      <c r="F1060" t="b">
        <v>0</v>
      </c>
      <c r="G1060" s="4" t="s">
        <v>221</v>
      </c>
      <c r="H1060" t="s">
        <v>127</v>
      </c>
      <c r="I1060" t="b">
        <v>0</v>
      </c>
    </row>
    <row r="1061" spans="1:9" ht="15" hidden="1" customHeight="1" x14ac:dyDescent="0.2">
      <c r="A1061" t="s">
        <v>220</v>
      </c>
      <c r="B1061" s="5">
        <v>45222</v>
      </c>
      <c r="C1061" s="3">
        <v>0.35416666666666669</v>
      </c>
      <c r="D1061" s="5">
        <v>45222</v>
      </c>
      <c r="E1061" s="3">
        <v>0.39583333333333337</v>
      </c>
      <c r="F1061" t="b">
        <v>0</v>
      </c>
      <c r="G1061" s="4" t="s">
        <v>221</v>
      </c>
      <c r="H1061" t="s">
        <v>127</v>
      </c>
      <c r="I1061" t="b">
        <v>0</v>
      </c>
    </row>
    <row r="1062" spans="1:9" ht="15" hidden="1" customHeight="1" x14ac:dyDescent="0.2">
      <c r="A1062" t="s">
        <v>220</v>
      </c>
      <c r="B1062" s="5">
        <v>45224</v>
      </c>
      <c r="C1062" s="3">
        <v>0.39583333333333331</v>
      </c>
      <c r="D1062" s="5">
        <v>45224</v>
      </c>
      <c r="E1062" s="3">
        <v>0.4375</v>
      </c>
      <c r="F1062" t="b">
        <v>0</v>
      </c>
      <c r="G1062" s="4" t="s">
        <v>221</v>
      </c>
      <c r="H1062" t="s">
        <v>127</v>
      </c>
      <c r="I1062" t="b">
        <v>0</v>
      </c>
    </row>
    <row r="1063" spans="1:9" ht="15" hidden="1" customHeight="1" x14ac:dyDescent="0.2">
      <c r="A1063" t="s">
        <v>220</v>
      </c>
      <c r="B1063" s="5">
        <v>45225</v>
      </c>
      <c r="C1063" s="3">
        <v>0.47916666666666669</v>
      </c>
      <c r="D1063" s="5">
        <v>45225</v>
      </c>
      <c r="E1063" s="3">
        <v>0.52083333333333337</v>
      </c>
      <c r="F1063" t="b">
        <v>0</v>
      </c>
      <c r="G1063" s="4" t="s">
        <v>221</v>
      </c>
      <c r="H1063" t="s">
        <v>127</v>
      </c>
      <c r="I1063" t="b">
        <v>0</v>
      </c>
    </row>
    <row r="1064" spans="1:9" ht="15" hidden="1" customHeight="1" x14ac:dyDescent="0.2">
      <c r="A1064" t="s">
        <v>220</v>
      </c>
      <c r="B1064" s="5">
        <v>45226</v>
      </c>
      <c r="C1064" s="3">
        <v>0.4375</v>
      </c>
      <c r="D1064" s="5">
        <v>45226</v>
      </c>
      <c r="E1064" s="3">
        <v>0.47916666666666669</v>
      </c>
      <c r="F1064" t="b">
        <v>0</v>
      </c>
      <c r="G1064" s="4" t="s">
        <v>221</v>
      </c>
      <c r="H1064" t="s">
        <v>127</v>
      </c>
      <c r="I1064" t="b">
        <v>0</v>
      </c>
    </row>
    <row r="1065" spans="1:9" ht="15" hidden="1" customHeight="1" x14ac:dyDescent="0.2">
      <c r="A1065" t="s">
        <v>220</v>
      </c>
      <c r="B1065" s="5">
        <v>45229</v>
      </c>
      <c r="C1065" s="3">
        <v>0.35416666666666669</v>
      </c>
      <c r="D1065" s="5">
        <v>45229</v>
      </c>
      <c r="E1065" s="3">
        <v>0.39583333333333337</v>
      </c>
      <c r="F1065" t="b">
        <v>0</v>
      </c>
      <c r="G1065" s="4" t="s">
        <v>221</v>
      </c>
      <c r="H1065" t="s">
        <v>127</v>
      </c>
      <c r="I1065" t="b">
        <v>0</v>
      </c>
    </row>
    <row r="1066" spans="1:9" ht="15" hidden="1" customHeight="1" x14ac:dyDescent="0.2">
      <c r="A1066" t="s">
        <v>220</v>
      </c>
      <c r="B1066" s="5">
        <v>45231</v>
      </c>
      <c r="C1066" s="3">
        <v>0.39583333333333331</v>
      </c>
      <c r="D1066" s="5">
        <v>45231</v>
      </c>
      <c r="E1066" s="3">
        <v>0.4375</v>
      </c>
      <c r="F1066" t="b">
        <v>0</v>
      </c>
      <c r="G1066" s="4" t="s">
        <v>221</v>
      </c>
      <c r="H1066" t="s">
        <v>127</v>
      </c>
      <c r="I1066" t="b">
        <v>0</v>
      </c>
    </row>
    <row r="1067" spans="1:9" ht="15" hidden="1" customHeight="1" x14ac:dyDescent="0.2">
      <c r="A1067" t="s">
        <v>220</v>
      </c>
      <c r="B1067" s="5">
        <v>45232</v>
      </c>
      <c r="C1067" s="3">
        <v>0.47916666666666669</v>
      </c>
      <c r="D1067" s="5">
        <v>45232</v>
      </c>
      <c r="E1067" s="3">
        <v>0.52083333333333337</v>
      </c>
      <c r="F1067" t="b">
        <v>0</v>
      </c>
      <c r="G1067" s="4" t="s">
        <v>221</v>
      </c>
      <c r="H1067" t="s">
        <v>127</v>
      </c>
      <c r="I1067" t="b">
        <v>0</v>
      </c>
    </row>
    <row r="1068" spans="1:9" ht="15" hidden="1" customHeight="1" x14ac:dyDescent="0.2">
      <c r="A1068" t="s">
        <v>220</v>
      </c>
      <c r="B1068" s="5">
        <v>45233</v>
      </c>
      <c r="C1068" s="3">
        <v>0.4375</v>
      </c>
      <c r="D1068" s="5">
        <v>45233</v>
      </c>
      <c r="E1068" s="3">
        <v>0.47916666666666669</v>
      </c>
      <c r="F1068" t="b">
        <v>0</v>
      </c>
      <c r="G1068" s="4" t="s">
        <v>221</v>
      </c>
      <c r="H1068" t="s">
        <v>127</v>
      </c>
      <c r="I1068" t="b">
        <v>0</v>
      </c>
    </row>
    <row r="1069" spans="1:9" ht="15" hidden="1" customHeight="1" x14ac:dyDescent="0.2">
      <c r="A1069" t="s">
        <v>220</v>
      </c>
      <c r="B1069" s="5">
        <v>45236</v>
      </c>
      <c r="C1069" s="3">
        <v>0.35416666666666669</v>
      </c>
      <c r="D1069" s="5">
        <v>45236</v>
      </c>
      <c r="E1069" s="3">
        <v>0.39583333333333337</v>
      </c>
      <c r="F1069" t="b">
        <v>0</v>
      </c>
      <c r="G1069" s="4" t="s">
        <v>221</v>
      </c>
      <c r="H1069" t="s">
        <v>127</v>
      </c>
      <c r="I1069" t="b">
        <v>0</v>
      </c>
    </row>
    <row r="1070" spans="1:9" ht="15" hidden="1" customHeight="1" x14ac:dyDescent="0.2">
      <c r="A1070" t="s">
        <v>220</v>
      </c>
      <c r="B1070" s="5">
        <v>45238</v>
      </c>
      <c r="C1070" s="3">
        <v>0.39583333333333331</v>
      </c>
      <c r="D1070" s="5">
        <v>45238</v>
      </c>
      <c r="E1070" s="3">
        <v>0.4375</v>
      </c>
      <c r="F1070" t="b">
        <v>0</v>
      </c>
      <c r="G1070" s="4" t="s">
        <v>221</v>
      </c>
      <c r="H1070" t="s">
        <v>127</v>
      </c>
      <c r="I1070" t="b">
        <v>0</v>
      </c>
    </row>
    <row r="1071" spans="1:9" ht="15" hidden="1" customHeight="1" x14ac:dyDescent="0.2">
      <c r="A1071" t="s">
        <v>220</v>
      </c>
      <c r="B1071" s="5">
        <v>45239</v>
      </c>
      <c r="C1071" s="3">
        <v>0.47916666666666669</v>
      </c>
      <c r="D1071" s="5">
        <v>45239</v>
      </c>
      <c r="E1071" s="3">
        <v>0.52083333333333337</v>
      </c>
      <c r="F1071" t="b">
        <v>0</v>
      </c>
      <c r="G1071" s="4" t="s">
        <v>221</v>
      </c>
      <c r="H1071" t="s">
        <v>127</v>
      </c>
      <c r="I1071" t="b">
        <v>0</v>
      </c>
    </row>
    <row r="1072" spans="1:9" ht="15" hidden="1" customHeight="1" x14ac:dyDescent="0.2">
      <c r="A1072" t="s">
        <v>220</v>
      </c>
      <c r="B1072" s="5">
        <v>45240</v>
      </c>
      <c r="C1072" s="3">
        <v>0.4375</v>
      </c>
      <c r="D1072" s="5">
        <v>45240</v>
      </c>
      <c r="E1072" s="3">
        <v>0.47916666666666669</v>
      </c>
      <c r="F1072" t="b">
        <v>0</v>
      </c>
      <c r="G1072" s="4" t="s">
        <v>221</v>
      </c>
      <c r="H1072" t="s">
        <v>127</v>
      </c>
      <c r="I1072" t="b">
        <v>0</v>
      </c>
    </row>
    <row r="1073" spans="1:9" ht="15" hidden="1" customHeight="1" x14ac:dyDescent="0.2">
      <c r="A1073" t="s">
        <v>206</v>
      </c>
      <c r="B1073" s="5">
        <v>45194</v>
      </c>
      <c r="C1073" s="3">
        <v>0.47916666666666669</v>
      </c>
      <c r="D1073" s="5">
        <v>45194</v>
      </c>
      <c r="E1073" s="3">
        <v>0.52083333333333337</v>
      </c>
      <c r="F1073" t="b">
        <v>0</v>
      </c>
      <c r="G1073" s="4" t="s">
        <v>207</v>
      </c>
      <c r="H1073" t="s">
        <v>243</v>
      </c>
      <c r="I1073" t="b">
        <v>0</v>
      </c>
    </row>
    <row r="1074" spans="1:9" ht="15" hidden="1" customHeight="1" x14ac:dyDescent="0.2">
      <c r="A1074" t="s">
        <v>172</v>
      </c>
      <c r="B1074" s="5">
        <v>45195</v>
      </c>
      <c r="C1074" s="3">
        <v>0.47916666666666669</v>
      </c>
      <c r="D1074" s="5">
        <v>45195</v>
      </c>
      <c r="E1074" s="3">
        <v>0.52083333333333337</v>
      </c>
      <c r="F1074" t="b">
        <v>0</v>
      </c>
      <c r="G1074" s="4" t="s">
        <v>173</v>
      </c>
      <c r="H1074" t="s">
        <v>125</v>
      </c>
      <c r="I1074" t="b">
        <v>0</v>
      </c>
    </row>
    <row r="1075" spans="1:9" ht="15" hidden="1" customHeight="1" x14ac:dyDescent="0.2">
      <c r="A1075" t="s">
        <v>172</v>
      </c>
      <c r="B1075" s="5">
        <v>45196</v>
      </c>
      <c r="C1075" s="3">
        <v>0.47916666666666669</v>
      </c>
      <c r="D1075" s="5">
        <v>45196</v>
      </c>
      <c r="E1075" s="3">
        <v>0.52083333333333337</v>
      </c>
      <c r="F1075" t="b">
        <v>0</v>
      </c>
      <c r="G1075" s="4" t="s">
        <v>173</v>
      </c>
      <c r="H1075" t="s">
        <v>125</v>
      </c>
      <c r="I1075" t="b">
        <v>0</v>
      </c>
    </row>
    <row r="1076" spans="1:9" ht="15" hidden="1" customHeight="1" x14ac:dyDescent="0.2">
      <c r="A1076" t="s">
        <v>172</v>
      </c>
      <c r="B1076" s="5">
        <v>45197</v>
      </c>
      <c r="C1076" s="3">
        <v>0.4375</v>
      </c>
      <c r="D1076" s="5">
        <v>45197</v>
      </c>
      <c r="E1076" s="3">
        <v>0.47916666666666669</v>
      </c>
      <c r="F1076" t="b">
        <v>0</v>
      </c>
      <c r="G1076" s="4" t="s">
        <v>173</v>
      </c>
      <c r="H1076" t="s">
        <v>125</v>
      </c>
      <c r="I1076" t="b">
        <v>0</v>
      </c>
    </row>
    <row r="1077" spans="1:9" ht="15" hidden="1" customHeight="1" x14ac:dyDescent="0.2">
      <c r="A1077" t="s">
        <v>172</v>
      </c>
      <c r="B1077" s="5">
        <v>45201</v>
      </c>
      <c r="C1077" s="3">
        <v>0.4375</v>
      </c>
      <c r="D1077" s="5">
        <v>45201</v>
      </c>
      <c r="E1077" s="3">
        <v>0.47916666666666669</v>
      </c>
      <c r="F1077" t="b">
        <v>0</v>
      </c>
      <c r="G1077" s="4" t="s">
        <v>173</v>
      </c>
      <c r="H1077" t="s">
        <v>125</v>
      </c>
      <c r="I1077" t="b">
        <v>0</v>
      </c>
    </row>
    <row r="1078" spans="1:9" ht="15" hidden="1" customHeight="1" x14ac:dyDescent="0.2">
      <c r="A1078" t="s">
        <v>172</v>
      </c>
      <c r="B1078" s="5">
        <v>45202</v>
      </c>
      <c r="C1078" s="3">
        <v>0.47916666666666669</v>
      </c>
      <c r="D1078" s="5">
        <v>45202</v>
      </c>
      <c r="E1078" s="3">
        <v>0.52083333333333337</v>
      </c>
      <c r="F1078" t="b">
        <v>0</v>
      </c>
      <c r="G1078" s="4" t="s">
        <v>173</v>
      </c>
      <c r="H1078" t="s">
        <v>125</v>
      </c>
      <c r="I1078" t="b">
        <v>0</v>
      </c>
    </row>
    <row r="1079" spans="1:9" ht="15" hidden="1" customHeight="1" x14ac:dyDescent="0.2">
      <c r="A1079" t="s">
        <v>172</v>
      </c>
      <c r="B1079" s="5">
        <v>45203</v>
      </c>
      <c r="C1079" s="3">
        <v>0.47916666666666669</v>
      </c>
      <c r="D1079" s="5">
        <v>45203</v>
      </c>
      <c r="E1079" s="3">
        <v>0.52083333333333337</v>
      </c>
      <c r="F1079" t="b">
        <v>0</v>
      </c>
      <c r="G1079" s="4" t="s">
        <v>173</v>
      </c>
      <c r="H1079" t="s">
        <v>125</v>
      </c>
      <c r="I1079" t="b">
        <v>0</v>
      </c>
    </row>
    <row r="1080" spans="1:9" ht="15" hidden="1" customHeight="1" x14ac:dyDescent="0.2">
      <c r="A1080" t="s">
        <v>172</v>
      </c>
      <c r="B1080" s="5">
        <v>45204</v>
      </c>
      <c r="C1080" s="3">
        <v>0.4375</v>
      </c>
      <c r="D1080" s="5">
        <v>45204</v>
      </c>
      <c r="E1080" s="3">
        <v>0.47916666666666669</v>
      </c>
      <c r="F1080" t="b">
        <v>0</v>
      </c>
      <c r="G1080" s="4" t="s">
        <v>173</v>
      </c>
      <c r="H1080" t="s">
        <v>125</v>
      </c>
      <c r="I1080" t="b">
        <v>0</v>
      </c>
    </row>
    <row r="1081" spans="1:9" ht="15" hidden="1" customHeight="1" x14ac:dyDescent="0.2">
      <c r="A1081" t="s">
        <v>172</v>
      </c>
      <c r="B1081" s="5">
        <v>45208</v>
      </c>
      <c r="C1081" s="3">
        <v>0.4375</v>
      </c>
      <c r="D1081" s="5">
        <v>45208</v>
      </c>
      <c r="E1081" s="3">
        <v>0.47916666666666669</v>
      </c>
      <c r="F1081" t="b">
        <v>0</v>
      </c>
      <c r="G1081" s="4" t="s">
        <v>173</v>
      </c>
      <c r="H1081" t="s">
        <v>125</v>
      </c>
      <c r="I1081" t="b">
        <v>0</v>
      </c>
    </row>
    <row r="1082" spans="1:9" ht="15" hidden="1" customHeight="1" x14ac:dyDescent="0.2">
      <c r="A1082" t="s">
        <v>172</v>
      </c>
      <c r="B1082" s="5">
        <v>45209</v>
      </c>
      <c r="C1082" s="3">
        <v>0.47916666666666669</v>
      </c>
      <c r="D1082" s="5">
        <v>45209</v>
      </c>
      <c r="E1082" s="3">
        <v>0.52083333333333337</v>
      </c>
      <c r="F1082" t="b">
        <v>0</v>
      </c>
      <c r="G1082" s="4" t="s">
        <v>173</v>
      </c>
      <c r="H1082" t="s">
        <v>125</v>
      </c>
      <c r="I1082" t="b">
        <v>0</v>
      </c>
    </row>
    <row r="1083" spans="1:9" ht="15" hidden="1" customHeight="1" x14ac:dyDescent="0.2">
      <c r="A1083" t="s">
        <v>172</v>
      </c>
      <c r="B1083" s="5">
        <v>45210</v>
      </c>
      <c r="C1083" s="3">
        <v>0.47916666666666669</v>
      </c>
      <c r="D1083" s="5">
        <v>45210</v>
      </c>
      <c r="E1083" s="3">
        <v>0.52083333333333337</v>
      </c>
      <c r="F1083" t="b">
        <v>0</v>
      </c>
      <c r="G1083" s="4" t="s">
        <v>173</v>
      </c>
      <c r="H1083" t="s">
        <v>125</v>
      </c>
      <c r="I1083" t="b">
        <v>0</v>
      </c>
    </row>
    <row r="1084" spans="1:9" ht="15" hidden="1" customHeight="1" x14ac:dyDescent="0.2">
      <c r="A1084" t="s">
        <v>172</v>
      </c>
      <c r="B1084" s="5">
        <v>45211</v>
      </c>
      <c r="C1084" s="3">
        <v>0.4375</v>
      </c>
      <c r="D1084" s="5">
        <v>45211</v>
      </c>
      <c r="E1084" s="3">
        <v>0.47916666666666669</v>
      </c>
      <c r="F1084" t="b">
        <v>0</v>
      </c>
      <c r="G1084" s="4" t="s">
        <v>173</v>
      </c>
      <c r="H1084" t="s">
        <v>125</v>
      </c>
      <c r="I1084" t="b">
        <v>0</v>
      </c>
    </row>
    <row r="1085" spans="1:9" ht="15" hidden="1" customHeight="1" x14ac:dyDescent="0.2">
      <c r="A1085" t="s">
        <v>172</v>
      </c>
      <c r="B1085" s="5">
        <v>45215</v>
      </c>
      <c r="C1085" s="3">
        <v>0.4375</v>
      </c>
      <c r="D1085" s="5">
        <v>45215</v>
      </c>
      <c r="E1085" s="3">
        <v>0.47916666666666669</v>
      </c>
      <c r="F1085" t="b">
        <v>0</v>
      </c>
      <c r="G1085" s="4" t="s">
        <v>173</v>
      </c>
      <c r="H1085" t="s">
        <v>125</v>
      </c>
      <c r="I1085" t="b">
        <v>0</v>
      </c>
    </row>
    <row r="1086" spans="1:9" ht="15" hidden="1" customHeight="1" x14ac:dyDescent="0.2">
      <c r="A1086" t="s">
        <v>172</v>
      </c>
      <c r="B1086" s="5">
        <v>45216</v>
      </c>
      <c r="C1086" s="3">
        <v>0.47916666666666669</v>
      </c>
      <c r="D1086" s="5">
        <v>45216</v>
      </c>
      <c r="E1086" s="3">
        <v>0.52083333333333337</v>
      </c>
      <c r="F1086" t="b">
        <v>0</v>
      </c>
      <c r="G1086" s="4" t="s">
        <v>173</v>
      </c>
      <c r="H1086" t="s">
        <v>125</v>
      </c>
      <c r="I1086" t="b">
        <v>0</v>
      </c>
    </row>
    <row r="1087" spans="1:9" ht="15" hidden="1" customHeight="1" x14ac:dyDescent="0.2">
      <c r="A1087" t="s">
        <v>172</v>
      </c>
      <c r="B1087" s="5">
        <v>45217</v>
      </c>
      <c r="C1087" s="3">
        <v>0.47916666666666669</v>
      </c>
      <c r="D1087" s="5">
        <v>45217</v>
      </c>
      <c r="E1087" s="3">
        <v>0.52083333333333337</v>
      </c>
      <c r="F1087" t="b">
        <v>0</v>
      </c>
      <c r="G1087" s="4" t="s">
        <v>173</v>
      </c>
      <c r="H1087" t="s">
        <v>125</v>
      </c>
      <c r="I1087" t="b">
        <v>0</v>
      </c>
    </row>
    <row r="1088" spans="1:9" ht="15" hidden="1" customHeight="1" x14ac:dyDescent="0.2">
      <c r="A1088" t="s">
        <v>172</v>
      </c>
      <c r="B1088" s="5">
        <v>45218</v>
      </c>
      <c r="C1088" s="3">
        <v>0.4375</v>
      </c>
      <c r="D1088" s="5">
        <v>45218</v>
      </c>
      <c r="E1088" s="3">
        <v>0.47916666666666669</v>
      </c>
      <c r="F1088" t="b">
        <v>0</v>
      </c>
      <c r="G1088" s="4" t="s">
        <v>173</v>
      </c>
      <c r="H1088" t="s">
        <v>125</v>
      </c>
      <c r="I1088" t="b">
        <v>0</v>
      </c>
    </row>
    <row r="1089" spans="1:9" ht="15" hidden="1" customHeight="1" x14ac:dyDescent="0.2">
      <c r="A1089" t="s">
        <v>172</v>
      </c>
      <c r="B1089" s="5">
        <v>45222</v>
      </c>
      <c r="C1089" s="3">
        <v>0.4375</v>
      </c>
      <c r="D1089" s="5">
        <v>45222</v>
      </c>
      <c r="E1089" s="3">
        <v>0.47916666666666669</v>
      </c>
      <c r="F1089" t="b">
        <v>0</v>
      </c>
      <c r="G1089" s="4" t="s">
        <v>173</v>
      </c>
      <c r="H1089" t="s">
        <v>125</v>
      </c>
      <c r="I1089" t="b">
        <v>0</v>
      </c>
    </row>
    <row r="1090" spans="1:9" ht="15" hidden="1" customHeight="1" x14ac:dyDescent="0.2">
      <c r="A1090" t="s">
        <v>172</v>
      </c>
      <c r="B1090" s="5">
        <v>45223</v>
      </c>
      <c r="C1090" s="3">
        <v>0.47916666666666669</v>
      </c>
      <c r="D1090" s="5">
        <v>45223</v>
      </c>
      <c r="E1090" s="3">
        <v>0.52083333333333337</v>
      </c>
      <c r="F1090" t="b">
        <v>0</v>
      </c>
      <c r="G1090" s="4" t="s">
        <v>173</v>
      </c>
      <c r="H1090" t="s">
        <v>125</v>
      </c>
      <c r="I1090" t="b">
        <v>0</v>
      </c>
    </row>
    <row r="1091" spans="1:9" ht="15" hidden="1" customHeight="1" x14ac:dyDescent="0.2">
      <c r="A1091" t="s">
        <v>172</v>
      </c>
      <c r="B1091" s="5">
        <v>45224</v>
      </c>
      <c r="C1091" s="3">
        <v>0.47916666666666669</v>
      </c>
      <c r="D1091" s="5">
        <v>45224</v>
      </c>
      <c r="E1091" s="3">
        <v>0.52083333333333337</v>
      </c>
      <c r="F1091" t="b">
        <v>0</v>
      </c>
      <c r="G1091" s="4" t="s">
        <v>173</v>
      </c>
      <c r="H1091" t="s">
        <v>125</v>
      </c>
      <c r="I1091" t="b">
        <v>0</v>
      </c>
    </row>
    <row r="1092" spans="1:9" ht="15" hidden="1" customHeight="1" x14ac:dyDescent="0.2">
      <c r="A1092" t="s">
        <v>172</v>
      </c>
      <c r="B1092" s="5">
        <v>45225</v>
      </c>
      <c r="C1092" s="3">
        <v>0.4375</v>
      </c>
      <c r="D1092" s="5">
        <v>45225</v>
      </c>
      <c r="E1092" s="3">
        <v>0.47916666666666669</v>
      </c>
      <c r="F1092" t="b">
        <v>0</v>
      </c>
      <c r="G1092" s="4" t="s">
        <v>173</v>
      </c>
      <c r="H1092" t="s">
        <v>125</v>
      </c>
      <c r="I1092" t="b">
        <v>0</v>
      </c>
    </row>
    <row r="1093" spans="1:9" ht="15" hidden="1" customHeight="1" x14ac:dyDescent="0.2">
      <c r="A1093" t="s">
        <v>172</v>
      </c>
      <c r="B1093" s="5">
        <v>45229</v>
      </c>
      <c r="C1093" s="3">
        <v>0.4375</v>
      </c>
      <c r="D1093" s="5">
        <v>45229</v>
      </c>
      <c r="E1093" s="3">
        <v>0.47916666666666669</v>
      </c>
      <c r="F1093" t="b">
        <v>0</v>
      </c>
      <c r="G1093" s="4" t="s">
        <v>173</v>
      </c>
      <c r="H1093" t="s">
        <v>125</v>
      </c>
      <c r="I1093" t="b">
        <v>0</v>
      </c>
    </row>
    <row r="1094" spans="1:9" ht="15" hidden="1" customHeight="1" x14ac:dyDescent="0.2">
      <c r="A1094" t="s">
        <v>172</v>
      </c>
      <c r="B1094" s="5">
        <v>45230</v>
      </c>
      <c r="C1094" s="3">
        <v>0.47916666666666669</v>
      </c>
      <c r="D1094" s="5">
        <v>45230</v>
      </c>
      <c r="E1094" s="3">
        <v>0.52083333333333337</v>
      </c>
      <c r="F1094" t="b">
        <v>0</v>
      </c>
      <c r="G1094" s="4" t="s">
        <v>173</v>
      </c>
      <c r="H1094" t="s">
        <v>125</v>
      </c>
      <c r="I1094" t="b">
        <v>0</v>
      </c>
    </row>
    <row r="1095" spans="1:9" ht="15" hidden="1" customHeight="1" x14ac:dyDescent="0.2">
      <c r="A1095" t="s">
        <v>172</v>
      </c>
      <c r="B1095" s="5">
        <v>45231</v>
      </c>
      <c r="C1095" s="3">
        <v>0.47916666666666669</v>
      </c>
      <c r="D1095" s="5">
        <v>45231</v>
      </c>
      <c r="E1095" s="3">
        <v>0.52083333333333337</v>
      </c>
      <c r="F1095" t="b">
        <v>0</v>
      </c>
      <c r="G1095" s="4" t="s">
        <v>173</v>
      </c>
      <c r="H1095" t="s">
        <v>125</v>
      </c>
      <c r="I1095" t="b">
        <v>0</v>
      </c>
    </row>
    <row r="1096" spans="1:9" ht="15" hidden="1" customHeight="1" x14ac:dyDescent="0.2">
      <c r="A1096" t="s">
        <v>172</v>
      </c>
      <c r="B1096" s="5">
        <v>45232</v>
      </c>
      <c r="C1096" s="3">
        <v>0.4375</v>
      </c>
      <c r="D1096" s="5">
        <v>45232</v>
      </c>
      <c r="E1096" s="3">
        <v>0.47916666666666669</v>
      </c>
      <c r="F1096" t="b">
        <v>0</v>
      </c>
      <c r="G1096" s="4" t="s">
        <v>173</v>
      </c>
      <c r="H1096" t="s">
        <v>125</v>
      </c>
      <c r="I1096" t="b">
        <v>0</v>
      </c>
    </row>
    <row r="1097" spans="1:9" ht="15" hidden="1" customHeight="1" x14ac:dyDescent="0.2">
      <c r="A1097" t="s">
        <v>172</v>
      </c>
      <c r="B1097" s="5">
        <v>45236</v>
      </c>
      <c r="C1097" s="3">
        <v>0.4375</v>
      </c>
      <c r="D1097" s="5">
        <v>45236</v>
      </c>
      <c r="E1097" s="3">
        <v>0.47916666666666669</v>
      </c>
      <c r="F1097" t="b">
        <v>0</v>
      </c>
      <c r="G1097" s="4" t="s">
        <v>173</v>
      </c>
      <c r="H1097" t="s">
        <v>125</v>
      </c>
      <c r="I1097" t="b">
        <v>0</v>
      </c>
    </row>
    <row r="1098" spans="1:9" ht="15" hidden="1" customHeight="1" x14ac:dyDescent="0.2">
      <c r="A1098" t="s">
        <v>172</v>
      </c>
      <c r="B1098" s="5">
        <v>45237</v>
      </c>
      <c r="C1098" s="3">
        <v>0.47916666666666669</v>
      </c>
      <c r="D1098" s="5">
        <v>45237</v>
      </c>
      <c r="E1098" s="3">
        <v>0.52083333333333337</v>
      </c>
      <c r="F1098" t="b">
        <v>0</v>
      </c>
      <c r="G1098" s="4" t="s">
        <v>173</v>
      </c>
      <c r="H1098" t="s">
        <v>125</v>
      </c>
      <c r="I1098" t="b">
        <v>0</v>
      </c>
    </row>
    <row r="1099" spans="1:9" ht="15" hidden="1" customHeight="1" x14ac:dyDescent="0.2">
      <c r="A1099" t="s">
        <v>172</v>
      </c>
      <c r="B1099" s="5">
        <v>45238</v>
      </c>
      <c r="C1099" s="3">
        <v>0.47916666666666669</v>
      </c>
      <c r="D1099" s="5">
        <v>45238</v>
      </c>
      <c r="E1099" s="3">
        <v>0.52083333333333337</v>
      </c>
      <c r="F1099" t="b">
        <v>0</v>
      </c>
      <c r="G1099" s="4" t="s">
        <v>173</v>
      </c>
      <c r="H1099" t="s">
        <v>125</v>
      </c>
      <c r="I1099" t="b">
        <v>0</v>
      </c>
    </row>
    <row r="1100" spans="1:9" ht="15" hidden="1" customHeight="1" x14ac:dyDescent="0.2">
      <c r="A1100" t="s">
        <v>172</v>
      </c>
      <c r="B1100" s="5">
        <v>45239</v>
      </c>
      <c r="C1100" s="3">
        <v>0.4375</v>
      </c>
      <c r="D1100" s="5">
        <v>45239</v>
      </c>
      <c r="E1100" s="3">
        <v>0.47916666666666669</v>
      </c>
      <c r="F1100" t="b">
        <v>0</v>
      </c>
      <c r="G1100" s="4" t="s">
        <v>173</v>
      </c>
      <c r="H1100" t="s">
        <v>125</v>
      </c>
      <c r="I1100" t="b">
        <v>0</v>
      </c>
    </row>
    <row r="1101" spans="1:9" ht="15" hidden="1" customHeight="1" x14ac:dyDescent="0.2">
      <c r="A1101" t="s">
        <v>119</v>
      </c>
      <c r="B1101" s="5">
        <v>45195</v>
      </c>
      <c r="C1101" s="3">
        <v>0.4375</v>
      </c>
      <c r="D1101" s="5">
        <v>45195</v>
      </c>
      <c r="E1101" s="3">
        <v>0.47916666666666669</v>
      </c>
      <c r="F1101" t="b">
        <v>0</v>
      </c>
      <c r="G1101" s="4" t="s">
        <v>120</v>
      </c>
      <c r="H1101" t="s">
        <v>118</v>
      </c>
      <c r="I1101" t="b">
        <v>0</v>
      </c>
    </row>
    <row r="1102" spans="1:9" ht="15" hidden="1" customHeight="1" x14ac:dyDescent="0.2">
      <c r="A1102" t="s">
        <v>119</v>
      </c>
      <c r="B1102" s="5">
        <v>45195</v>
      </c>
      <c r="C1102" s="3">
        <v>0.47916666666666669</v>
      </c>
      <c r="D1102" s="5">
        <v>45195</v>
      </c>
      <c r="E1102" s="3">
        <v>0.52083333333333337</v>
      </c>
      <c r="F1102" t="b">
        <v>0</v>
      </c>
      <c r="G1102" s="4" t="s">
        <v>120</v>
      </c>
      <c r="H1102" t="s">
        <v>118</v>
      </c>
      <c r="I1102" t="b">
        <v>0</v>
      </c>
    </row>
    <row r="1103" spans="1:9" ht="15" hidden="1" customHeight="1" x14ac:dyDescent="0.2">
      <c r="A1103" t="s">
        <v>119</v>
      </c>
      <c r="B1103" s="5">
        <v>45196</v>
      </c>
      <c r="C1103" s="3">
        <v>0.4375</v>
      </c>
      <c r="D1103" s="5">
        <v>45196</v>
      </c>
      <c r="E1103" s="3">
        <v>0.47916666666666669</v>
      </c>
      <c r="F1103" t="b">
        <v>0</v>
      </c>
      <c r="G1103" s="4" t="s">
        <v>120</v>
      </c>
      <c r="H1103" t="s">
        <v>118</v>
      </c>
      <c r="I1103" t="b">
        <v>0</v>
      </c>
    </row>
    <row r="1104" spans="1:9" ht="15" hidden="1" customHeight="1" x14ac:dyDescent="0.2">
      <c r="A1104" t="s">
        <v>119</v>
      </c>
      <c r="B1104" s="5">
        <v>45198</v>
      </c>
      <c r="C1104" s="3">
        <v>0.47916666666666669</v>
      </c>
      <c r="D1104" s="5">
        <v>45198</v>
      </c>
      <c r="E1104" s="3">
        <v>0.52083333333333337</v>
      </c>
      <c r="F1104" t="b">
        <v>0</v>
      </c>
      <c r="G1104" s="4" t="s">
        <v>120</v>
      </c>
      <c r="H1104" t="s">
        <v>118</v>
      </c>
      <c r="I1104" t="b">
        <v>0</v>
      </c>
    </row>
    <row r="1105" spans="1:9" ht="15" hidden="1" customHeight="1" x14ac:dyDescent="0.2">
      <c r="A1105" t="s">
        <v>119</v>
      </c>
      <c r="B1105" s="5">
        <v>45202</v>
      </c>
      <c r="C1105" s="3">
        <v>0.4375</v>
      </c>
      <c r="D1105" s="5">
        <v>45202</v>
      </c>
      <c r="E1105" s="3">
        <v>0.47916666666666669</v>
      </c>
      <c r="F1105" t="b">
        <v>0</v>
      </c>
      <c r="G1105" s="4" t="s">
        <v>120</v>
      </c>
      <c r="H1105" t="s">
        <v>118</v>
      </c>
      <c r="I1105" t="b">
        <v>0</v>
      </c>
    </row>
    <row r="1106" spans="1:9" ht="15" hidden="1" customHeight="1" x14ac:dyDescent="0.2">
      <c r="A1106" t="s">
        <v>119</v>
      </c>
      <c r="B1106" s="5">
        <v>45202</v>
      </c>
      <c r="C1106" s="3">
        <v>0.47916666666666669</v>
      </c>
      <c r="D1106" s="5">
        <v>45202</v>
      </c>
      <c r="E1106" s="3">
        <v>0.52083333333333337</v>
      </c>
      <c r="F1106" t="b">
        <v>0</v>
      </c>
      <c r="G1106" s="4" t="s">
        <v>120</v>
      </c>
      <c r="H1106" t="s">
        <v>118</v>
      </c>
      <c r="I1106" t="b">
        <v>0</v>
      </c>
    </row>
    <row r="1107" spans="1:9" ht="15" hidden="1" customHeight="1" x14ac:dyDescent="0.2">
      <c r="A1107" t="s">
        <v>119</v>
      </c>
      <c r="B1107" s="5">
        <v>45203</v>
      </c>
      <c r="C1107" s="3">
        <v>0.4375</v>
      </c>
      <c r="D1107" s="5">
        <v>45203</v>
      </c>
      <c r="E1107" s="3">
        <v>0.47916666666666669</v>
      </c>
      <c r="F1107" t="b">
        <v>0</v>
      </c>
      <c r="G1107" s="4" t="s">
        <v>120</v>
      </c>
      <c r="H1107" t="s">
        <v>118</v>
      </c>
      <c r="I1107" t="b">
        <v>0</v>
      </c>
    </row>
    <row r="1108" spans="1:9" ht="15" hidden="1" customHeight="1" x14ac:dyDescent="0.2">
      <c r="A1108" t="s">
        <v>119</v>
      </c>
      <c r="B1108" s="5">
        <v>45205</v>
      </c>
      <c r="C1108" s="3">
        <v>0.47916666666666669</v>
      </c>
      <c r="D1108" s="5">
        <v>45205</v>
      </c>
      <c r="E1108" s="3">
        <v>0.52083333333333337</v>
      </c>
      <c r="F1108" t="b">
        <v>0</v>
      </c>
      <c r="G1108" s="4" t="s">
        <v>120</v>
      </c>
      <c r="H1108" t="s">
        <v>118</v>
      </c>
      <c r="I1108" t="b">
        <v>0</v>
      </c>
    </row>
    <row r="1109" spans="1:9" ht="15" hidden="1" customHeight="1" x14ac:dyDescent="0.2">
      <c r="A1109" t="s">
        <v>119</v>
      </c>
      <c r="B1109" s="5">
        <v>45209</v>
      </c>
      <c r="C1109" s="3">
        <v>0.4375</v>
      </c>
      <c r="D1109" s="5">
        <v>45209</v>
      </c>
      <c r="E1109" s="3">
        <v>0.47916666666666669</v>
      </c>
      <c r="F1109" t="b">
        <v>0</v>
      </c>
      <c r="G1109" s="4" t="s">
        <v>120</v>
      </c>
      <c r="H1109" t="s">
        <v>118</v>
      </c>
      <c r="I1109" t="b">
        <v>0</v>
      </c>
    </row>
    <row r="1110" spans="1:9" ht="15" hidden="1" customHeight="1" x14ac:dyDescent="0.2">
      <c r="A1110" t="s">
        <v>119</v>
      </c>
      <c r="B1110" s="5">
        <v>45209</v>
      </c>
      <c r="C1110" s="3">
        <v>0.47916666666666669</v>
      </c>
      <c r="D1110" s="5">
        <v>45209</v>
      </c>
      <c r="E1110" s="3">
        <v>0.52083333333333337</v>
      </c>
      <c r="F1110" t="b">
        <v>0</v>
      </c>
      <c r="G1110" s="4" t="s">
        <v>120</v>
      </c>
      <c r="H1110" t="s">
        <v>118</v>
      </c>
      <c r="I1110" t="b">
        <v>0</v>
      </c>
    </row>
    <row r="1111" spans="1:9" ht="15" hidden="1" customHeight="1" x14ac:dyDescent="0.2">
      <c r="A1111" t="s">
        <v>119</v>
      </c>
      <c r="B1111" s="5">
        <v>45210</v>
      </c>
      <c r="C1111" s="3">
        <v>0.4375</v>
      </c>
      <c r="D1111" s="5">
        <v>45210</v>
      </c>
      <c r="E1111" s="3">
        <v>0.47916666666666669</v>
      </c>
      <c r="F1111" t="b">
        <v>0</v>
      </c>
      <c r="G1111" s="4" t="s">
        <v>120</v>
      </c>
      <c r="H1111" t="s">
        <v>118</v>
      </c>
      <c r="I1111" t="b">
        <v>0</v>
      </c>
    </row>
    <row r="1112" spans="1:9" ht="15" hidden="1" customHeight="1" x14ac:dyDescent="0.2">
      <c r="A1112" t="s">
        <v>119</v>
      </c>
      <c r="B1112" s="5">
        <v>45212</v>
      </c>
      <c r="C1112" s="3">
        <v>0.47916666666666669</v>
      </c>
      <c r="D1112" s="5">
        <v>45212</v>
      </c>
      <c r="E1112" s="3">
        <v>0.52083333333333337</v>
      </c>
      <c r="F1112" t="b">
        <v>0</v>
      </c>
      <c r="G1112" s="4" t="s">
        <v>120</v>
      </c>
      <c r="H1112" t="s">
        <v>118</v>
      </c>
      <c r="I1112" t="b">
        <v>0</v>
      </c>
    </row>
    <row r="1113" spans="1:9" ht="15" hidden="1" customHeight="1" x14ac:dyDescent="0.2">
      <c r="A1113" t="s">
        <v>119</v>
      </c>
      <c r="B1113" s="5">
        <v>45216</v>
      </c>
      <c r="C1113" s="3">
        <v>0.4375</v>
      </c>
      <c r="D1113" s="5">
        <v>45216</v>
      </c>
      <c r="E1113" s="3">
        <v>0.47916666666666669</v>
      </c>
      <c r="F1113" t="b">
        <v>0</v>
      </c>
      <c r="G1113" s="4" t="s">
        <v>120</v>
      </c>
      <c r="H1113" t="s">
        <v>118</v>
      </c>
      <c r="I1113" t="b">
        <v>0</v>
      </c>
    </row>
    <row r="1114" spans="1:9" ht="15" hidden="1" customHeight="1" x14ac:dyDescent="0.2">
      <c r="A1114" t="s">
        <v>119</v>
      </c>
      <c r="B1114" s="5">
        <v>45216</v>
      </c>
      <c r="C1114" s="3">
        <v>0.47916666666666669</v>
      </c>
      <c r="D1114" s="5">
        <v>45216</v>
      </c>
      <c r="E1114" s="3">
        <v>0.52083333333333337</v>
      </c>
      <c r="F1114" t="b">
        <v>0</v>
      </c>
      <c r="G1114" s="4" t="s">
        <v>120</v>
      </c>
      <c r="H1114" t="s">
        <v>118</v>
      </c>
      <c r="I1114" t="b">
        <v>0</v>
      </c>
    </row>
    <row r="1115" spans="1:9" ht="15" hidden="1" customHeight="1" x14ac:dyDescent="0.2">
      <c r="A1115" t="s">
        <v>119</v>
      </c>
      <c r="B1115" s="5">
        <v>45217</v>
      </c>
      <c r="C1115" s="3">
        <v>0.4375</v>
      </c>
      <c r="D1115" s="5">
        <v>45217</v>
      </c>
      <c r="E1115" s="3">
        <v>0.47916666666666669</v>
      </c>
      <c r="F1115" t="b">
        <v>0</v>
      </c>
      <c r="G1115" s="4" t="s">
        <v>120</v>
      </c>
      <c r="H1115" t="s">
        <v>118</v>
      </c>
      <c r="I1115" t="b">
        <v>0</v>
      </c>
    </row>
    <row r="1116" spans="1:9" ht="15" hidden="1" customHeight="1" x14ac:dyDescent="0.2">
      <c r="A1116" t="s">
        <v>119</v>
      </c>
      <c r="B1116" s="5">
        <v>45219</v>
      </c>
      <c r="C1116" s="3">
        <v>0.47916666666666669</v>
      </c>
      <c r="D1116" s="5">
        <v>45219</v>
      </c>
      <c r="E1116" s="3">
        <v>0.52083333333333337</v>
      </c>
      <c r="F1116" t="b">
        <v>0</v>
      </c>
      <c r="G1116" s="4" t="s">
        <v>120</v>
      </c>
      <c r="H1116" t="s">
        <v>118</v>
      </c>
      <c r="I1116" t="b">
        <v>0</v>
      </c>
    </row>
    <row r="1117" spans="1:9" ht="15" hidden="1" customHeight="1" x14ac:dyDescent="0.2">
      <c r="A1117" t="s">
        <v>119</v>
      </c>
      <c r="B1117" s="5">
        <v>45223</v>
      </c>
      <c r="C1117" s="3">
        <v>0.4375</v>
      </c>
      <c r="D1117" s="5">
        <v>45223</v>
      </c>
      <c r="E1117" s="3">
        <v>0.47916666666666669</v>
      </c>
      <c r="F1117" t="b">
        <v>0</v>
      </c>
      <c r="G1117" s="4" t="s">
        <v>120</v>
      </c>
      <c r="H1117" t="s">
        <v>118</v>
      </c>
      <c r="I1117" t="b">
        <v>0</v>
      </c>
    </row>
    <row r="1118" spans="1:9" ht="15" hidden="1" customHeight="1" x14ac:dyDescent="0.2">
      <c r="A1118" t="s">
        <v>119</v>
      </c>
      <c r="B1118" s="5">
        <v>45223</v>
      </c>
      <c r="C1118" s="3">
        <v>0.47916666666666669</v>
      </c>
      <c r="D1118" s="5">
        <v>45223</v>
      </c>
      <c r="E1118" s="3">
        <v>0.52083333333333337</v>
      </c>
      <c r="F1118" t="b">
        <v>0</v>
      </c>
      <c r="G1118" s="4" t="s">
        <v>120</v>
      </c>
      <c r="H1118" t="s">
        <v>118</v>
      </c>
      <c r="I1118" t="b">
        <v>0</v>
      </c>
    </row>
    <row r="1119" spans="1:9" ht="15" hidden="1" customHeight="1" x14ac:dyDescent="0.2">
      <c r="A1119" t="s">
        <v>119</v>
      </c>
      <c r="B1119" s="5">
        <v>45224</v>
      </c>
      <c r="C1119" s="3">
        <v>0.4375</v>
      </c>
      <c r="D1119" s="5">
        <v>45224</v>
      </c>
      <c r="E1119" s="3">
        <v>0.47916666666666669</v>
      </c>
      <c r="F1119" t="b">
        <v>0</v>
      </c>
      <c r="G1119" s="4" t="s">
        <v>120</v>
      </c>
      <c r="H1119" t="s">
        <v>118</v>
      </c>
      <c r="I1119" t="b">
        <v>0</v>
      </c>
    </row>
    <row r="1120" spans="1:9" ht="15" hidden="1" customHeight="1" x14ac:dyDescent="0.2">
      <c r="A1120" t="s">
        <v>119</v>
      </c>
      <c r="B1120" s="5">
        <v>45226</v>
      </c>
      <c r="C1120" s="3">
        <v>0.47916666666666669</v>
      </c>
      <c r="D1120" s="5">
        <v>45226</v>
      </c>
      <c r="E1120" s="3">
        <v>0.52083333333333337</v>
      </c>
      <c r="F1120" t="b">
        <v>0</v>
      </c>
      <c r="G1120" s="4" t="s">
        <v>120</v>
      </c>
      <c r="H1120" t="s">
        <v>118</v>
      </c>
      <c r="I1120" t="b">
        <v>0</v>
      </c>
    </row>
    <row r="1121" spans="1:9" ht="15" hidden="1" customHeight="1" x14ac:dyDescent="0.2">
      <c r="A1121" t="s">
        <v>119</v>
      </c>
      <c r="B1121" s="5">
        <v>45230</v>
      </c>
      <c r="C1121" s="3">
        <v>0.4375</v>
      </c>
      <c r="D1121" s="5">
        <v>45230</v>
      </c>
      <c r="E1121" s="3">
        <v>0.47916666666666669</v>
      </c>
      <c r="F1121" t="b">
        <v>0</v>
      </c>
      <c r="G1121" s="4" t="s">
        <v>120</v>
      </c>
      <c r="H1121" t="s">
        <v>118</v>
      </c>
      <c r="I1121" t="b">
        <v>0</v>
      </c>
    </row>
    <row r="1122" spans="1:9" ht="15" hidden="1" customHeight="1" x14ac:dyDescent="0.2">
      <c r="A1122" t="s">
        <v>119</v>
      </c>
      <c r="B1122" s="5">
        <v>45230</v>
      </c>
      <c r="C1122" s="3">
        <v>0.47916666666666669</v>
      </c>
      <c r="D1122" s="5">
        <v>45230</v>
      </c>
      <c r="E1122" s="3">
        <v>0.52083333333333337</v>
      </c>
      <c r="F1122" t="b">
        <v>0</v>
      </c>
      <c r="G1122" s="4" t="s">
        <v>120</v>
      </c>
      <c r="H1122" t="s">
        <v>118</v>
      </c>
      <c r="I1122" t="b">
        <v>0</v>
      </c>
    </row>
    <row r="1123" spans="1:9" ht="15" hidden="1" customHeight="1" x14ac:dyDescent="0.2">
      <c r="A1123" t="s">
        <v>119</v>
      </c>
      <c r="B1123" s="5">
        <v>45231</v>
      </c>
      <c r="C1123" s="3">
        <v>0.4375</v>
      </c>
      <c r="D1123" s="5">
        <v>45231</v>
      </c>
      <c r="E1123" s="3">
        <v>0.47916666666666669</v>
      </c>
      <c r="F1123" t="b">
        <v>0</v>
      </c>
      <c r="G1123" s="4" t="s">
        <v>120</v>
      </c>
      <c r="H1123" t="s">
        <v>118</v>
      </c>
      <c r="I1123" t="b">
        <v>0</v>
      </c>
    </row>
    <row r="1124" spans="1:9" ht="15" hidden="1" customHeight="1" x14ac:dyDescent="0.2">
      <c r="A1124" t="s">
        <v>119</v>
      </c>
      <c r="B1124" s="5">
        <v>45233</v>
      </c>
      <c r="C1124" s="3">
        <v>0.47916666666666669</v>
      </c>
      <c r="D1124" s="5">
        <v>45233</v>
      </c>
      <c r="E1124" s="3">
        <v>0.52083333333333337</v>
      </c>
      <c r="F1124" t="b">
        <v>0</v>
      </c>
      <c r="G1124" s="4" t="s">
        <v>120</v>
      </c>
      <c r="H1124" t="s">
        <v>118</v>
      </c>
      <c r="I1124" t="b">
        <v>0</v>
      </c>
    </row>
    <row r="1125" spans="1:9" ht="15" hidden="1" customHeight="1" x14ac:dyDescent="0.2">
      <c r="A1125" t="s">
        <v>119</v>
      </c>
      <c r="B1125" s="5">
        <v>45237</v>
      </c>
      <c r="C1125" s="3">
        <v>0.4375</v>
      </c>
      <c r="D1125" s="5">
        <v>45237</v>
      </c>
      <c r="E1125" s="3">
        <v>0.47916666666666669</v>
      </c>
      <c r="F1125" t="b">
        <v>0</v>
      </c>
      <c r="G1125" s="4" t="s">
        <v>120</v>
      </c>
      <c r="H1125" t="s">
        <v>118</v>
      </c>
      <c r="I1125" t="b">
        <v>0</v>
      </c>
    </row>
    <row r="1126" spans="1:9" ht="15" hidden="1" customHeight="1" x14ac:dyDescent="0.2">
      <c r="A1126" t="s">
        <v>119</v>
      </c>
      <c r="B1126" s="5">
        <v>45237</v>
      </c>
      <c r="C1126" s="3">
        <v>0.47916666666666669</v>
      </c>
      <c r="D1126" s="5">
        <v>45237</v>
      </c>
      <c r="E1126" s="3">
        <v>0.52083333333333337</v>
      </c>
      <c r="F1126" t="b">
        <v>0</v>
      </c>
      <c r="G1126" s="4" t="s">
        <v>120</v>
      </c>
      <c r="H1126" t="s">
        <v>118</v>
      </c>
      <c r="I1126" t="b">
        <v>0</v>
      </c>
    </row>
    <row r="1127" spans="1:9" ht="15" hidden="1" customHeight="1" x14ac:dyDescent="0.2">
      <c r="A1127" t="s">
        <v>119</v>
      </c>
      <c r="B1127" s="5">
        <v>45238</v>
      </c>
      <c r="C1127" s="3">
        <v>0.4375</v>
      </c>
      <c r="D1127" s="5">
        <v>45238</v>
      </c>
      <c r="E1127" s="3">
        <v>0.47916666666666669</v>
      </c>
      <c r="F1127" t="b">
        <v>0</v>
      </c>
      <c r="G1127" s="4" t="s">
        <v>120</v>
      </c>
      <c r="H1127" t="s">
        <v>118</v>
      </c>
      <c r="I1127" t="b">
        <v>0</v>
      </c>
    </row>
    <row r="1128" spans="1:9" ht="15" hidden="1" customHeight="1" x14ac:dyDescent="0.2">
      <c r="A1128" t="s">
        <v>119</v>
      </c>
      <c r="B1128" s="5">
        <v>45240</v>
      </c>
      <c r="C1128" s="3">
        <v>0.47916666666666669</v>
      </c>
      <c r="D1128" s="5">
        <v>45240</v>
      </c>
      <c r="E1128" s="3">
        <v>0.52083333333333337</v>
      </c>
      <c r="F1128" t="b">
        <v>0</v>
      </c>
      <c r="G1128" s="4" t="s">
        <v>120</v>
      </c>
      <c r="H1128" t="s">
        <v>118</v>
      </c>
      <c r="I1128" t="b">
        <v>0</v>
      </c>
    </row>
    <row r="1129" spans="1:9" ht="15" hidden="1" customHeight="1" x14ac:dyDescent="0.2">
      <c r="A1129" t="s">
        <v>151</v>
      </c>
      <c r="B1129" s="5">
        <v>45194</v>
      </c>
      <c r="C1129" s="3">
        <v>0.58333333333333337</v>
      </c>
      <c r="D1129" s="5">
        <v>45194</v>
      </c>
      <c r="E1129" s="3">
        <v>0.66666666666666674</v>
      </c>
      <c r="F1129" t="b">
        <v>0</v>
      </c>
      <c r="G1129" s="4" t="s">
        <v>152</v>
      </c>
      <c r="H1129" t="s">
        <v>148</v>
      </c>
      <c r="I1129" t="b">
        <v>0</v>
      </c>
    </row>
    <row r="1130" spans="1:9" ht="15" hidden="1" customHeight="1" x14ac:dyDescent="0.2">
      <c r="A1130" t="s">
        <v>129</v>
      </c>
      <c r="B1130" s="5">
        <v>45201</v>
      </c>
      <c r="C1130" s="3">
        <v>0.58333333333333337</v>
      </c>
      <c r="D1130" s="5">
        <v>45201</v>
      </c>
      <c r="E1130" s="3">
        <v>0.70833333333333337</v>
      </c>
      <c r="F1130" t="b">
        <v>0</v>
      </c>
      <c r="G1130" s="4" t="s">
        <v>130</v>
      </c>
      <c r="H1130" t="s">
        <v>118</v>
      </c>
      <c r="I1130" t="b">
        <v>0</v>
      </c>
    </row>
    <row r="1131" spans="1:9" ht="15" hidden="1" customHeight="1" x14ac:dyDescent="0.2">
      <c r="A1131" t="s">
        <v>129</v>
      </c>
      <c r="B1131" s="5">
        <v>45208</v>
      </c>
      <c r="C1131" s="3">
        <v>0.58333333333333337</v>
      </c>
      <c r="D1131" s="5">
        <v>45208</v>
      </c>
      <c r="E1131" s="3">
        <v>0.70833333333333337</v>
      </c>
      <c r="F1131" t="b">
        <v>0</v>
      </c>
      <c r="G1131" s="4" t="s">
        <v>130</v>
      </c>
      <c r="H1131" t="s">
        <v>118</v>
      </c>
      <c r="I1131" t="b">
        <v>0</v>
      </c>
    </row>
    <row r="1132" spans="1:9" ht="15" hidden="1" customHeight="1" x14ac:dyDescent="0.2">
      <c r="A1132" t="s">
        <v>129</v>
      </c>
      <c r="B1132" s="5">
        <v>45215</v>
      </c>
      <c r="C1132" s="3">
        <v>0.58333333333333337</v>
      </c>
      <c r="D1132" s="5">
        <v>45215</v>
      </c>
      <c r="E1132" s="3">
        <v>0.70833333333333337</v>
      </c>
      <c r="F1132" t="b">
        <v>0</v>
      </c>
      <c r="G1132" s="4" t="s">
        <v>130</v>
      </c>
      <c r="H1132" t="s">
        <v>118</v>
      </c>
      <c r="I1132" t="b">
        <v>0</v>
      </c>
    </row>
    <row r="1133" spans="1:9" ht="15" hidden="1" customHeight="1" x14ac:dyDescent="0.2">
      <c r="A1133" t="s">
        <v>129</v>
      </c>
      <c r="B1133" s="5">
        <v>45222</v>
      </c>
      <c r="C1133" s="3">
        <v>0.58333333333333337</v>
      </c>
      <c r="D1133" s="5">
        <v>45222</v>
      </c>
      <c r="E1133" s="3">
        <v>0.70833333333333337</v>
      </c>
      <c r="F1133" t="b">
        <v>0</v>
      </c>
      <c r="G1133" s="4" t="s">
        <v>130</v>
      </c>
      <c r="H1133" t="s">
        <v>118</v>
      </c>
      <c r="I1133" t="b">
        <v>0</v>
      </c>
    </row>
    <row r="1134" spans="1:9" ht="15" hidden="1" customHeight="1" x14ac:dyDescent="0.2">
      <c r="A1134" t="s">
        <v>129</v>
      </c>
      <c r="B1134" s="5">
        <v>45229</v>
      </c>
      <c r="C1134" s="3">
        <v>0.58333333333333337</v>
      </c>
      <c r="D1134" s="5">
        <v>45229</v>
      </c>
      <c r="E1134" s="3">
        <v>0.70833333333333337</v>
      </c>
      <c r="F1134" t="b">
        <v>0</v>
      </c>
      <c r="G1134" s="4" t="s">
        <v>130</v>
      </c>
      <c r="H1134" t="s">
        <v>118</v>
      </c>
      <c r="I1134" t="b">
        <v>0</v>
      </c>
    </row>
    <row r="1135" spans="1:9" ht="15" hidden="1" customHeight="1" x14ac:dyDescent="0.2">
      <c r="A1135" t="s">
        <v>129</v>
      </c>
      <c r="B1135" s="5">
        <v>45236</v>
      </c>
      <c r="C1135" s="3">
        <v>0.58333333333333337</v>
      </c>
      <c r="D1135" s="5">
        <v>45236</v>
      </c>
      <c r="E1135" s="3">
        <v>0.70833333333333337</v>
      </c>
      <c r="F1135" t="b">
        <v>0</v>
      </c>
      <c r="G1135" s="4" t="s">
        <v>130</v>
      </c>
      <c r="H1135" t="s">
        <v>118</v>
      </c>
      <c r="I1135" t="b">
        <v>0</v>
      </c>
    </row>
    <row r="1136" spans="1:9" ht="15" hidden="1" customHeight="1" x14ac:dyDescent="0.2">
      <c r="A1136" t="s">
        <v>142</v>
      </c>
      <c r="B1136" s="5">
        <v>45194</v>
      </c>
      <c r="C1136" s="3">
        <v>0.58333333333333337</v>
      </c>
      <c r="D1136" s="5">
        <v>45194</v>
      </c>
      <c r="E1136" s="3">
        <v>0.70833333333333337</v>
      </c>
      <c r="F1136" t="b">
        <v>0</v>
      </c>
      <c r="G1136" s="4" t="s">
        <v>143</v>
      </c>
      <c r="I1136" t="b">
        <v>0</v>
      </c>
    </row>
    <row r="1137" spans="1:9" ht="15" hidden="1" customHeight="1" x14ac:dyDescent="0.2">
      <c r="A1137" t="s">
        <v>138</v>
      </c>
      <c r="B1137" s="5">
        <v>45196</v>
      </c>
      <c r="C1137" s="3">
        <v>0.35416666666666669</v>
      </c>
      <c r="D1137" s="5">
        <v>45196</v>
      </c>
      <c r="E1137" s="3">
        <v>0.39583333333333337</v>
      </c>
      <c r="F1137" t="b">
        <v>0</v>
      </c>
      <c r="G1137" s="4" t="s">
        <v>139</v>
      </c>
      <c r="H1137" t="s">
        <v>132</v>
      </c>
      <c r="I1137" t="b">
        <v>0</v>
      </c>
    </row>
    <row r="1138" spans="1:9" ht="15" hidden="1" customHeight="1" x14ac:dyDescent="0.2">
      <c r="A1138" t="s">
        <v>138</v>
      </c>
      <c r="B1138" s="5">
        <v>45198</v>
      </c>
      <c r="C1138" s="3">
        <v>0.39583333333333331</v>
      </c>
      <c r="D1138" s="5">
        <v>45198</v>
      </c>
      <c r="E1138" s="3">
        <v>0.4375</v>
      </c>
      <c r="F1138" t="b">
        <v>0</v>
      </c>
      <c r="G1138" s="4" t="s">
        <v>139</v>
      </c>
      <c r="H1138" t="s">
        <v>132</v>
      </c>
      <c r="I1138" t="b">
        <v>0</v>
      </c>
    </row>
    <row r="1139" spans="1:9" ht="15" hidden="1" customHeight="1" x14ac:dyDescent="0.2">
      <c r="A1139" t="s">
        <v>138</v>
      </c>
      <c r="B1139" s="5">
        <v>45201</v>
      </c>
      <c r="C1139" s="3">
        <v>0.47916666666666669</v>
      </c>
      <c r="D1139" s="5">
        <v>45201</v>
      </c>
      <c r="E1139" s="3">
        <v>0.52083333333333337</v>
      </c>
      <c r="F1139" t="b">
        <v>0</v>
      </c>
      <c r="G1139" s="4" t="s">
        <v>139</v>
      </c>
      <c r="H1139" t="s">
        <v>132</v>
      </c>
      <c r="I1139" t="b">
        <v>0</v>
      </c>
    </row>
    <row r="1140" spans="1:9" ht="15" hidden="1" customHeight="1" x14ac:dyDescent="0.2">
      <c r="A1140" t="s">
        <v>138</v>
      </c>
      <c r="B1140" s="5">
        <v>45203</v>
      </c>
      <c r="C1140" s="3">
        <v>0.35416666666666669</v>
      </c>
      <c r="D1140" s="5">
        <v>45203</v>
      </c>
      <c r="E1140" s="3">
        <v>0.39583333333333337</v>
      </c>
      <c r="F1140" t="b">
        <v>0</v>
      </c>
      <c r="G1140" s="4" t="s">
        <v>139</v>
      </c>
      <c r="H1140" t="s">
        <v>132</v>
      </c>
      <c r="I1140" t="b">
        <v>0</v>
      </c>
    </row>
    <row r="1141" spans="1:9" ht="15" hidden="1" customHeight="1" x14ac:dyDescent="0.2">
      <c r="A1141" t="s">
        <v>138</v>
      </c>
      <c r="B1141" s="5">
        <v>45205</v>
      </c>
      <c r="C1141" s="3">
        <v>0.39583333333333331</v>
      </c>
      <c r="D1141" s="5">
        <v>45205</v>
      </c>
      <c r="E1141" s="3">
        <v>0.4375</v>
      </c>
      <c r="F1141" t="b">
        <v>0</v>
      </c>
      <c r="G1141" s="4" t="s">
        <v>139</v>
      </c>
      <c r="H1141" t="s">
        <v>132</v>
      </c>
      <c r="I1141" t="b">
        <v>0</v>
      </c>
    </row>
    <row r="1142" spans="1:9" ht="15" hidden="1" customHeight="1" x14ac:dyDescent="0.2">
      <c r="A1142" t="s">
        <v>138</v>
      </c>
      <c r="B1142" s="5">
        <v>45208</v>
      </c>
      <c r="C1142" s="3">
        <v>0.47916666666666669</v>
      </c>
      <c r="D1142" s="5">
        <v>45208</v>
      </c>
      <c r="E1142" s="3">
        <v>0.52083333333333337</v>
      </c>
      <c r="F1142" t="b">
        <v>0</v>
      </c>
      <c r="G1142" s="4" t="s">
        <v>139</v>
      </c>
      <c r="H1142" t="s">
        <v>132</v>
      </c>
      <c r="I1142" t="b">
        <v>0</v>
      </c>
    </row>
    <row r="1143" spans="1:9" ht="15" hidden="1" customHeight="1" x14ac:dyDescent="0.2">
      <c r="A1143" t="s">
        <v>138</v>
      </c>
      <c r="B1143" s="5">
        <v>45210</v>
      </c>
      <c r="C1143" s="3">
        <v>0.35416666666666669</v>
      </c>
      <c r="D1143" s="5">
        <v>45210</v>
      </c>
      <c r="E1143" s="3">
        <v>0.39583333333333337</v>
      </c>
      <c r="F1143" t="b">
        <v>0</v>
      </c>
      <c r="G1143" s="4" t="s">
        <v>139</v>
      </c>
      <c r="H1143" t="s">
        <v>132</v>
      </c>
      <c r="I1143" t="b">
        <v>0</v>
      </c>
    </row>
    <row r="1144" spans="1:9" ht="15" hidden="1" customHeight="1" x14ac:dyDescent="0.2">
      <c r="A1144" t="s">
        <v>138</v>
      </c>
      <c r="B1144" s="5">
        <v>45212</v>
      </c>
      <c r="C1144" s="3">
        <v>0.39583333333333331</v>
      </c>
      <c r="D1144" s="5">
        <v>45212</v>
      </c>
      <c r="E1144" s="3">
        <v>0.4375</v>
      </c>
      <c r="F1144" t="b">
        <v>0</v>
      </c>
      <c r="G1144" s="4" t="s">
        <v>139</v>
      </c>
      <c r="H1144" t="s">
        <v>132</v>
      </c>
      <c r="I1144" t="b">
        <v>0</v>
      </c>
    </row>
    <row r="1145" spans="1:9" ht="15" hidden="1" customHeight="1" x14ac:dyDescent="0.2">
      <c r="A1145" t="s">
        <v>138</v>
      </c>
      <c r="B1145" s="5">
        <v>45215</v>
      </c>
      <c r="C1145" s="3">
        <v>0.47916666666666669</v>
      </c>
      <c r="D1145" s="5">
        <v>45215</v>
      </c>
      <c r="E1145" s="3">
        <v>0.52083333333333337</v>
      </c>
      <c r="F1145" t="b">
        <v>0</v>
      </c>
      <c r="G1145" s="4" t="s">
        <v>139</v>
      </c>
      <c r="H1145" t="s">
        <v>132</v>
      </c>
      <c r="I1145" t="b">
        <v>0</v>
      </c>
    </row>
    <row r="1146" spans="1:9" ht="15" hidden="1" customHeight="1" x14ac:dyDescent="0.2">
      <c r="A1146" t="s">
        <v>138</v>
      </c>
      <c r="B1146" s="5">
        <v>45217</v>
      </c>
      <c r="C1146" s="3">
        <v>0.35416666666666669</v>
      </c>
      <c r="D1146" s="5">
        <v>45217</v>
      </c>
      <c r="E1146" s="3">
        <v>0.39583333333333337</v>
      </c>
      <c r="F1146" t="b">
        <v>0</v>
      </c>
      <c r="G1146" s="4" t="s">
        <v>139</v>
      </c>
      <c r="H1146" t="s">
        <v>132</v>
      </c>
      <c r="I1146" t="b">
        <v>0</v>
      </c>
    </row>
    <row r="1147" spans="1:9" ht="15" hidden="1" customHeight="1" x14ac:dyDescent="0.2">
      <c r="A1147" t="s">
        <v>138</v>
      </c>
      <c r="B1147" s="5">
        <v>45219</v>
      </c>
      <c r="C1147" s="3">
        <v>0.39583333333333331</v>
      </c>
      <c r="D1147" s="5">
        <v>45219</v>
      </c>
      <c r="E1147" s="3">
        <v>0.4375</v>
      </c>
      <c r="F1147" t="b">
        <v>0</v>
      </c>
      <c r="G1147" s="4" t="s">
        <v>139</v>
      </c>
      <c r="H1147" t="s">
        <v>132</v>
      </c>
      <c r="I1147" t="b">
        <v>0</v>
      </c>
    </row>
    <row r="1148" spans="1:9" ht="15" hidden="1" customHeight="1" x14ac:dyDescent="0.2">
      <c r="A1148" t="s">
        <v>138</v>
      </c>
      <c r="B1148" s="5">
        <v>45222</v>
      </c>
      <c r="C1148" s="3">
        <v>0.47916666666666669</v>
      </c>
      <c r="D1148" s="5">
        <v>45222</v>
      </c>
      <c r="E1148" s="3">
        <v>0.52083333333333337</v>
      </c>
      <c r="F1148" t="b">
        <v>0</v>
      </c>
      <c r="G1148" s="4" t="s">
        <v>139</v>
      </c>
      <c r="H1148" t="s">
        <v>132</v>
      </c>
      <c r="I1148" t="b">
        <v>0</v>
      </c>
    </row>
    <row r="1149" spans="1:9" ht="15" hidden="1" customHeight="1" x14ac:dyDescent="0.2">
      <c r="A1149" t="s">
        <v>138</v>
      </c>
      <c r="B1149" s="5">
        <v>45224</v>
      </c>
      <c r="C1149" s="3">
        <v>0.35416666666666669</v>
      </c>
      <c r="D1149" s="5">
        <v>45224</v>
      </c>
      <c r="E1149" s="3">
        <v>0.39583333333333337</v>
      </c>
      <c r="F1149" t="b">
        <v>0</v>
      </c>
      <c r="G1149" s="4" t="s">
        <v>139</v>
      </c>
      <c r="H1149" t="s">
        <v>132</v>
      </c>
      <c r="I1149" t="b">
        <v>0</v>
      </c>
    </row>
    <row r="1150" spans="1:9" ht="15" hidden="1" customHeight="1" x14ac:dyDescent="0.2">
      <c r="A1150" t="s">
        <v>138</v>
      </c>
      <c r="B1150" s="5">
        <v>45226</v>
      </c>
      <c r="C1150" s="3">
        <v>0.39583333333333331</v>
      </c>
      <c r="D1150" s="5">
        <v>45226</v>
      </c>
      <c r="E1150" s="3">
        <v>0.4375</v>
      </c>
      <c r="F1150" t="b">
        <v>0</v>
      </c>
      <c r="G1150" s="4" t="s">
        <v>139</v>
      </c>
      <c r="H1150" t="s">
        <v>132</v>
      </c>
      <c r="I1150" t="b">
        <v>0</v>
      </c>
    </row>
    <row r="1151" spans="1:9" ht="15" hidden="1" customHeight="1" x14ac:dyDescent="0.2">
      <c r="A1151" t="s">
        <v>138</v>
      </c>
      <c r="B1151" s="5">
        <v>45229</v>
      </c>
      <c r="C1151" s="3">
        <v>0.47916666666666669</v>
      </c>
      <c r="D1151" s="5">
        <v>45229</v>
      </c>
      <c r="E1151" s="3">
        <v>0.52083333333333337</v>
      </c>
      <c r="F1151" t="b">
        <v>0</v>
      </c>
      <c r="G1151" s="4" t="s">
        <v>139</v>
      </c>
      <c r="H1151" t="s">
        <v>132</v>
      </c>
      <c r="I1151" t="b">
        <v>0</v>
      </c>
    </row>
    <row r="1152" spans="1:9" ht="15" hidden="1" customHeight="1" x14ac:dyDescent="0.2">
      <c r="A1152" t="s">
        <v>138</v>
      </c>
      <c r="B1152" s="5">
        <v>45231</v>
      </c>
      <c r="C1152" s="3">
        <v>0.35416666666666669</v>
      </c>
      <c r="D1152" s="5">
        <v>45231</v>
      </c>
      <c r="E1152" s="3">
        <v>0.39583333333333337</v>
      </c>
      <c r="F1152" t="b">
        <v>0</v>
      </c>
      <c r="G1152" s="4" t="s">
        <v>139</v>
      </c>
      <c r="H1152" t="s">
        <v>132</v>
      </c>
      <c r="I1152" t="b">
        <v>0</v>
      </c>
    </row>
    <row r="1153" spans="1:9" ht="15" hidden="1" customHeight="1" x14ac:dyDescent="0.2">
      <c r="A1153" t="s">
        <v>138</v>
      </c>
      <c r="B1153" s="5">
        <v>45233</v>
      </c>
      <c r="C1153" s="3">
        <v>0.39583333333333331</v>
      </c>
      <c r="D1153" s="5">
        <v>45233</v>
      </c>
      <c r="E1153" s="3">
        <v>0.4375</v>
      </c>
      <c r="F1153" t="b">
        <v>0</v>
      </c>
      <c r="G1153" s="4" t="s">
        <v>139</v>
      </c>
      <c r="H1153" t="s">
        <v>132</v>
      </c>
      <c r="I1153" t="b">
        <v>0</v>
      </c>
    </row>
    <row r="1154" spans="1:9" ht="15" hidden="1" customHeight="1" x14ac:dyDescent="0.2">
      <c r="A1154" t="s">
        <v>138</v>
      </c>
      <c r="B1154" s="5">
        <v>45236</v>
      </c>
      <c r="C1154" s="3">
        <v>0.47916666666666669</v>
      </c>
      <c r="D1154" s="5">
        <v>45236</v>
      </c>
      <c r="E1154" s="3">
        <v>0.52083333333333337</v>
      </c>
      <c r="F1154" t="b">
        <v>0</v>
      </c>
      <c r="G1154" s="4" t="s">
        <v>139</v>
      </c>
      <c r="H1154" t="s">
        <v>132</v>
      </c>
      <c r="I1154" t="b">
        <v>0</v>
      </c>
    </row>
    <row r="1155" spans="1:9" ht="15" hidden="1" customHeight="1" x14ac:dyDescent="0.2">
      <c r="A1155" t="s">
        <v>138</v>
      </c>
      <c r="B1155" s="5">
        <v>45238</v>
      </c>
      <c r="C1155" s="3">
        <v>0.35416666666666669</v>
      </c>
      <c r="D1155" s="5">
        <v>45238</v>
      </c>
      <c r="E1155" s="3">
        <v>0.39583333333333337</v>
      </c>
      <c r="F1155" t="b">
        <v>0</v>
      </c>
      <c r="G1155" s="4" t="s">
        <v>139</v>
      </c>
      <c r="H1155" t="s">
        <v>132</v>
      </c>
      <c r="I1155" t="b">
        <v>0</v>
      </c>
    </row>
    <row r="1156" spans="1:9" ht="15" hidden="1" customHeight="1" x14ac:dyDescent="0.2">
      <c r="A1156" t="s">
        <v>138</v>
      </c>
      <c r="B1156" s="5">
        <v>45240</v>
      </c>
      <c r="C1156" s="3">
        <v>0.39583333333333331</v>
      </c>
      <c r="D1156" s="5">
        <v>45240</v>
      </c>
      <c r="E1156" s="3">
        <v>0.4375</v>
      </c>
      <c r="F1156" t="b">
        <v>0</v>
      </c>
      <c r="G1156" s="4" t="s">
        <v>139</v>
      </c>
      <c r="H1156" t="s">
        <v>132</v>
      </c>
      <c r="I1156" t="b">
        <v>0</v>
      </c>
    </row>
    <row r="1157" spans="1:9" ht="15" hidden="1" customHeight="1" x14ac:dyDescent="0.2">
      <c r="A1157" t="s">
        <v>158</v>
      </c>
      <c r="B1157" s="5">
        <v>45194</v>
      </c>
      <c r="C1157" s="3">
        <v>0.58333333333333337</v>
      </c>
      <c r="D1157" s="5">
        <v>45194</v>
      </c>
      <c r="E1157" s="3">
        <v>0.625</v>
      </c>
      <c r="F1157" t="b">
        <v>0</v>
      </c>
      <c r="G1157" s="4" t="s">
        <v>159</v>
      </c>
      <c r="H1157" t="s">
        <v>127</v>
      </c>
      <c r="I1157" t="b">
        <v>0</v>
      </c>
    </row>
    <row r="1158" spans="1:9" ht="15" hidden="1" customHeight="1" x14ac:dyDescent="0.2">
      <c r="A1158" t="s">
        <v>131</v>
      </c>
      <c r="B1158" s="5">
        <v>45196</v>
      </c>
      <c r="C1158" s="3">
        <v>0.39583333333333331</v>
      </c>
      <c r="D1158" s="5">
        <v>45196</v>
      </c>
      <c r="E1158" s="3">
        <v>0.4375</v>
      </c>
      <c r="F1158" t="b">
        <v>0</v>
      </c>
      <c r="G1158" s="4" t="s">
        <v>57</v>
      </c>
      <c r="H1158" t="s">
        <v>132</v>
      </c>
      <c r="I1158" t="b">
        <v>0</v>
      </c>
    </row>
    <row r="1159" spans="1:9" ht="15" hidden="1" customHeight="1" x14ac:dyDescent="0.2">
      <c r="A1159" t="s">
        <v>131</v>
      </c>
      <c r="B1159" s="5">
        <v>45198</v>
      </c>
      <c r="C1159" s="3">
        <v>0.4375</v>
      </c>
      <c r="D1159" s="5">
        <v>45198</v>
      </c>
      <c r="E1159" s="3">
        <v>0.47916666666666669</v>
      </c>
      <c r="F1159" t="b">
        <v>0</v>
      </c>
      <c r="G1159" s="4" t="s">
        <v>57</v>
      </c>
      <c r="H1159" t="s">
        <v>132</v>
      </c>
      <c r="I1159" t="b">
        <v>0</v>
      </c>
    </row>
    <row r="1160" spans="1:9" ht="15" hidden="1" customHeight="1" x14ac:dyDescent="0.2">
      <c r="A1160" t="s">
        <v>131</v>
      </c>
      <c r="B1160" s="5">
        <v>45201</v>
      </c>
      <c r="C1160" s="3">
        <v>0.35416666666666669</v>
      </c>
      <c r="D1160" s="5">
        <v>45201</v>
      </c>
      <c r="E1160" s="3">
        <v>0.39583333333333337</v>
      </c>
      <c r="F1160" t="b">
        <v>0</v>
      </c>
      <c r="G1160" s="4" t="s">
        <v>57</v>
      </c>
      <c r="H1160" t="s">
        <v>132</v>
      </c>
      <c r="I1160" t="b">
        <v>0</v>
      </c>
    </row>
    <row r="1161" spans="1:9" ht="15" hidden="1" customHeight="1" x14ac:dyDescent="0.2">
      <c r="A1161" t="s">
        <v>131</v>
      </c>
      <c r="B1161" s="5">
        <v>45203</v>
      </c>
      <c r="C1161" s="3">
        <v>0.39583333333333331</v>
      </c>
      <c r="D1161" s="5">
        <v>45203</v>
      </c>
      <c r="E1161" s="3">
        <v>0.4375</v>
      </c>
      <c r="F1161" t="b">
        <v>0</v>
      </c>
      <c r="G1161" s="4" t="s">
        <v>57</v>
      </c>
      <c r="H1161" t="s">
        <v>132</v>
      </c>
      <c r="I1161" t="b">
        <v>0</v>
      </c>
    </row>
    <row r="1162" spans="1:9" ht="15" hidden="1" customHeight="1" x14ac:dyDescent="0.2">
      <c r="A1162" t="s">
        <v>131</v>
      </c>
      <c r="B1162" s="5">
        <v>45205</v>
      </c>
      <c r="C1162" s="3">
        <v>0.4375</v>
      </c>
      <c r="D1162" s="5">
        <v>45205</v>
      </c>
      <c r="E1162" s="3">
        <v>0.47916666666666669</v>
      </c>
      <c r="F1162" t="b">
        <v>0</v>
      </c>
      <c r="G1162" s="4" t="s">
        <v>57</v>
      </c>
      <c r="H1162" t="s">
        <v>132</v>
      </c>
      <c r="I1162" t="b">
        <v>0</v>
      </c>
    </row>
    <row r="1163" spans="1:9" ht="15" hidden="1" customHeight="1" x14ac:dyDescent="0.2">
      <c r="A1163" t="s">
        <v>131</v>
      </c>
      <c r="B1163" s="5">
        <v>45208</v>
      </c>
      <c r="C1163" s="3">
        <v>0.35416666666666669</v>
      </c>
      <c r="D1163" s="5">
        <v>45208</v>
      </c>
      <c r="E1163" s="3">
        <v>0.39583333333333337</v>
      </c>
      <c r="F1163" t="b">
        <v>0</v>
      </c>
      <c r="G1163" s="4" t="s">
        <v>57</v>
      </c>
      <c r="H1163" t="s">
        <v>132</v>
      </c>
      <c r="I1163" t="b">
        <v>0</v>
      </c>
    </row>
    <row r="1164" spans="1:9" ht="15" hidden="1" customHeight="1" x14ac:dyDescent="0.2">
      <c r="A1164" t="s">
        <v>131</v>
      </c>
      <c r="B1164" s="5">
        <v>45210</v>
      </c>
      <c r="C1164" s="3">
        <v>0.39583333333333331</v>
      </c>
      <c r="D1164" s="5">
        <v>45210</v>
      </c>
      <c r="E1164" s="3">
        <v>0.4375</v>
      </c>
      <c r="F1164" t="b">
        <v>0</v>
      </c>
      <c r="G1164" s="4" t="s">
        <v>57</v>
      </c>
      <c r="H1164" t="s">
        <v>132</v>
      </c>
      <c r="I1164" t="b">
        <v>0</v>
      </c>
    </row>
    <row r="1165" spans="1:9" ht="15" hidden="1" customHeight="1" x14ac:dyDescent="0.2">
      <c r="A1165" t="s">
        <v>131</v>
      </c>
      <c r="B1165" s="5">
        <v>45212</v>
      </c>
      <c r="C1165" s="3">
        <v>0.4375</v>
      </c>
      <c r="D1165" s="5">
        <v>45212</v>
      </c>
      <c r="E1165" s="3">
        <v>0.47916666666666669</v>
      </c>
      <c r="F1165" t="b">
        <v>0</v>
      </c>
      <c r="G1165" s="4" t="s">
        <v>57</v>
      </c>
      <c r="H1165" t="s">
        <v>132</v>
      </c>
      <c r="I1165" t="b">
        <v>0</v>
      </c>
    </row>
    <row r="1166" spans="1:9" ht="15" hidden="1" customHeight="1" x14ac:dyDescent="0.2">
      <c r="A1166" t="s">
        <v>131</v>
      </c>
      <c r="B1166" s="5">
        <v>45215</v>
      </c>
      <c r="C1166" s="3">
        <v>0.35416666666666669</v>
      </c>
      <c r="D1166" s="5">
        <v>45215</v>
      </c>
      <c r="E1166" s="3">
        <v>0.39583333333333337</v>
      </c>
      <c r="F1166" t="b">
        <v>0</v>
      </c>
      <c r="G1166" s="4" t="s">
        <v>57</v>
      </c>
      <c r="H1166" t="s">
        <v>132</v>
      </c>
      <c r="I1166" t="b">
        <v>0</v>
      </c>
    </row>
    <row r="1167" spans="1:9" ht="15" hidden="1" customHeight="1" x14ac:dyDescent="0.2">
      <c r="A1167" t="s">
        <v>131</v>
      </c>
      <c r="B1167" s="5">
        <v>45217</v>
      </c>
      <c r="C1167" s="3">
        <v>0.39583333333333331</v>
      </c>
      <c r="D1167" s="5">
        <v>45217</v>
      </c>
      <c r="E1167" s="3">
        <v>0.4375</v>
      </c>
      <c r="F1167" t="b">
        <v>0</v>
      </c>
      <c r="G1167" s="4" t="s">
        <v>57</v>
      </c>
      <c r="H1167" t="s">
        <v>132</v>
      </c>
      <c r="I1167" t="b">
        <v>0</v>
      </c>
    </row>
    <row r="1168" spans="1:9" ht="15" hidden="1" customHeight="1" x14ac:dyDescent="0.2">
      <c r="A1168" t="s">
        <v>131</v>
      </c>
      <c r="B1168" s="5">
        <v>45219</v>
      </c>
      <c r="C1168" s="3">
        <v>0.4375</v>
      </c>
      <c r="D1168" s="5">
        <v>45219</v>
      </c>
      <c r="E1168" s="3">
        <v>0.47916666666666669</v>
      </c>
      <c r="F1168" t="b">
        <v>0</v>
      </c>
      <c r="G1168" s="4" t="s">
        <v>57</v>
      </c>
      <c r="H1168" t="s">
        <v>132</v>
      </c>
      <c r="I1168" t="b">
        <v>0</v>
      </c>
    </row>
    <row r="1169" spans="1:9" ht="15" hidden="1" customHeight="1" x14ac:dyDescent="0.2">
      <c r="A1169" t="s">
        <v>131</v>
      </c>
      <c r="B1169" s="5">
        <v>45222</v>
      </c>
      <c r="C1169" s="3">
        <v>0.35416666666666669</v>
      </c>
      <c r="D1169" s="5">
        <v>45222</v>
      </c>
      <c r="E1169" s="3">
        <v>0.39583333333333337</v>
      </c>
      <c r="F1169" t="b">
        <v>0</v>
      </c>
      <c r="G1169" s="4" t="s">
        <v>57</v>
      </c>
      <c r="H1169" t="s">
        <v>132</v>
      </c>
      <c r="I1169" t="b">
        <v>0</v>
      </c>
    </row>
    <row r="1170" spans="1:9" ht="15" hidden="1" customHeight="1" x14ac:dyDescent="0.2">
      <c r="A1170" t="s">
        <v>131</v>
      </c>
      <c r="B1170" s="5">
        <v>45224</v>
      </c>
      <c r="C1170" s="3">
        <v>0.39583333333333331</v>
      </c>
      <c r="D1170" s="5">
        <v>45224</v>
      </c>
      <c r="E1170" s="3">
        <v>0.4375</v>
      </c>
      <c r="F1170" t="b">
        <v>0</v>
      </c>
      <c r="G1170" s="4" t="s">
        <v>57</v>
      </c>
      <c r="H1170" t="s">
        <v>132</v>
      </c>
      <c r="I1170" t="b">
        <v>0</v>
      </c>
    </row>
    <row r="1171" spans="1:9" ht="15" hidden="1" customHeight="1" x14ac:dyDescent="0.2">
      <c r="A1171" t="s">
        <v>131</v>
      </c>
      <c r="B1171" s="5">
        <v>45226</v>
      </c>
      <c r="C1171" s="3">
        <v>0.4375</v>
      </c>
      <c r="D1171" s="5">
        <v>45226</v>
      </c>
      <c r="E1171" s="3">
        <v>0.47916666666666669</v>
      </c>
      <c r="F1171" t="b">
        <v>0</v>
      </c>
      <c r="G1171" s="4" t="s">
        <v>57</v>
      </c>
      <c r="H1171" t="s">
        <v>132</v>
      </c>
      <c r="I1171" t="b">
        <v>0</v>
      </c>
    </row>
    <row r="1172" spans="1:9" ht="15" hidden="1" customHeight="1" x14ac:dyDescent="0.2">
      <c r="A1172" t="s">
        <v>131</v>
      </c>
      <c r="B1172" s="5">
        <v>45229</v>
      </c>
      <c r="C1172" s="3">
        <v>0.35416666666666669</v>
      </c>
      <c r="D1172" s="5">
        <v>45229</v>
      </c>
      <c r="E1172" s="3">
        <v>0.39583333333333337</v>
      </c>
      <c r="F1172" t="b">
        <v>0</v>
      </c>
      <c r="G1172" s="4" t="s">
        <v>57</v>
      </c>
      <c r="H1172" t="s">
        <v>132</v>
      </c>
      <c r="I1172" t="b">
        <v>0</v>
      </c>
    </row>
    <row r="1173" spans="1:9" ht="15" hidden="1" customHeight="1" x14ac:dyDescent="0.2">
      <c r="A1173" t="s">
        <v>131</v>
      </c>
      <c r="B1173" s="5">
        <v>45231</v>
      </c>
      <c r="C1173" s="3">
        <v>0.39583333333333331</v>
      </c>
      <c r="D1173" s="5">
        <v>45231</v>
      </c>
      <c r="E1173" s="3">
        <v>0.4375</v>
      </c>
      <c r="F1173" t="b">
        <v>0</v>
      </c>
      <c r="G1173" s="4" t="s">
        <v>57</v>
      </c>
      <c r="H1173" t="s">
        <v>132</v>
      </c>
      <c r="I1173" t="b">
        <v>0</v>
      </c>
    </row>
    <row r="1174" spans="1:9" ht="15" hidden="1" customHeight="1" x14ac:dyDescent="0.2">
      <c r="A1174" t="s">
        <v>131</v>
      </c>
      <c r="B1174" s="5">
        <v>45233</v>
      </c>
      <c r="C1174" s="3">
        <v>0.4375</v>
      </c>
      <c r="D1174" s="5">
        <v>45233</v>
      </c>
      <c r="E1174" s="3">
        <v>0.47916666666666669</v>
      </c>
      <c r="F1174" t="b">
        <v>0</v>
      </c>
      <c r="G1174" s="4" t="s">
        <v>57</v>
      </c>
      <c r="H1174" t="s">
        <v>132</v>
      </c>
      <c r="I1174" t="b">
        <v>0</v>
      </c>
    </row>
    <row r="1175" spans="1:9" ht="15" hidden="1" customHeight="1" x14ac:dyDescent="0.2">
      <c r="A1175" t="s">
        <v>131</v>
      </c>
      <c r="B1175" s="5">
        <v>45236</v>
      </c>
      <c r="C1175" s="3">
        <v>0.35416666666666669</v>
      </c>
      <c r="D1175" s="5">
        <v>45236</v>
      </c>
      <c r="E1175" s="3">
        <v>0.39583333333333337</v>
      </c>
      <c r="F1175" t="b">
        <v>0</v>
      </c>
      <c r="G1175" s="4" t="s">
        <v>57</v>
      </c>
      <c r="H1175" t="s">
        <v>132</v>
      </c>
      <c r="I1175" t="b">
        <v>0</v>
      </c>
    </row>
    <row r="1176" spans="1:9" ht="15" hidden="1" customHeight="1" x14ac:dyDescent="0.2">
      <c r="A1176" t="s">
        <v>131</v>
      </c>
      <c r="B1176" s="5">
        <v>45238</v>
      </c>
      <c r="C1176" s="3">
        <v>0.39583333333333331</v>
      </c>
      <c r="D1176" s="5">
        <v>45238</v>
      </c>
      <c r="E1176" s="3">
        <v>0.4375</v>
      </c>
      <c r="F1176" t="b">
        <v>0</v>
      </c>
      <c r="G1176" s="4" t="s">
        <v>57</v>
      </c>
      <c r="H1176" t="s">
        <v>132</v>
      </c>
      <c r="I1176" t="b">
        <v>0</v>
      </c>
    </row>
    <row r="1177" spans="1:9" ht="15" hidden="1" customHeight="1" x14ac:dyDescent="0.2">
      <c r="A1177" t="s">
        <v>131</v>
      </c>
      <c r="B1177" s="5">
        <v>45240</v>
      </c>
      <c r="C1177" s="3">
        <v>0.4375</v>
      </c>
      <c r="D1177" s="5">
        <v>45240</v>
      </c>
      <c r="E1177" s="3">
        <v>0.47916666666666669</v>
      </c>
      <c r="F1177" t="b">
        <v>0</v>
      </c>
      <c r="G1177" s="4" t="s">
        <v>57</v>
      </c>
      <c r="H1177" t="s">
        <v>132</v>
      </c>
      <c r="I1177" t="b">
        <v>0</v>
      </c>
    </row>
    <row r="1178" spans="1:9" ht="15" hidden="1" customHeight="1" x14ac:dyDescent="0.2">
      <c r="A1178" s="6" t="s">
        <v>254</v>
      </c>
      <c r="B1178" s="5">
        <v>45194</v>
      </c>
      <c r="C1178" s="3">
        <v>0.58333333333333337</v>
      </c>
      <c r="D1178" s="5">
        <v>45194</v>
      </c>
      <c r="E1178" s="3">
        <v>0.625</v>
      </c>
      <c r="F1178" t="b">
        <v>0</v>
      </c>
      <c r="G1178" s="7" t="s">
        <v>255</v>
      </c>
      <c r="H1178" t="s">
        <v>236</v>
      </c>
      <c r="I1178" t="b">
        <v>0</v>
      </c>
    </row>
    <row r="1179" spans="1:9" ht="15" hidden="1" customHeight="1" x14ac:dyDescent="0.2">
      <c r="A1179" t="s">
        <v>196</v>
      </c>
      <c r="B1179" s="5">
        <v>45196</v>
      </c>
      <c r="C1179" s="3">
        <v>0.47916666666666669</v>
      </c>
      <c r="D1179" s="5">
        <v>45196</v>
      </c>
      <c r="E1179" s="3">
        <v>0.52083333333333337</v>
      </c>
      <c r="F1179" t="b">
        <v>0</v>
      </c>
      <c r="G1179" s="4" t="s">
        <v>197</v>
      </c>
      <c r="H1179" t="s">
        <v>132</v>
      </c>
      <c r="I1179" t="b">
        <v>0</v>
      </c>
    </row>
    <row r="1180" spans="1:9" ht="15" hidden="1" customHeight="1" x14ac:dyDescent="0.2">
      <c r="A1180" t="s">
        <v>196</v>
      </c>
      <c r="B1180" s="5">
        <v>45198</v>
      </c>
      <c r="C1180" s="3">
        <v>0.35416666666666669</v>
      </c>
      <c r="D1180" s="5">
        <v>45198</v>
      </c>
      <c r="E1180" s="3">
        <v>0.39583333333333337</v>
      </c>
      <c r="F1180" t="b">
        <v>0</v>
      </c>
      <c r="G1180" s="4" t="s">
        <v>197</v>
      </c>
      <c r="H1180" t="s">
        <v>132</v>
      </c>
      <c r="I1180" t="b">
        <v>0</v>
      </c>
    </row>
    <row r="1181" spans="1:9" ht="15" hidden="1" customHeight="1" x14ac:dyDescent="0.2">
      <c r="A1181" t="s">
        <v>196</v>
      </c>
      <c r="B1181" s="5">
        <v>45201</v>
      </c>
      <c r="C1181" s="3">
        <v>0.4375</v>
      </c>
      <c r="D1181" s="5">
        <v>45201</v>
      </c>
      <c r="E1181" s="3">
        <v>0.47916666666666669</v>
      </c>
      <c r="F1181" t="b">
        <v>0</v>
      </c>
      <c r="G1181" s="4" t="s">
        <v>197</v>
      </c>
      <c r="H1181" t="s">
        <v>132</v>
      </c>
      <c r="I1181" t="b">
        <v>0</v>
      </c>
    </row>
    <row r="1182" spans="1:9" ht="15" hidden="1" customHeight="1" x14ac:dyDescent="0.2">
      <c r="A1182" t="s">
        <v>196</v>
      </c>
      <c r="B1182" s="5">
        <v>45203</v>
      </c>
      <c r="C1182" s="3">
        <v>0.47916666666666669</v>
      </c>
      <c r="D1182" s="5">
        <v>45203</v>
      </c>
      <c r="E1182" s="3">
        <v>0.52083333333333337</v>
      </c>
      <c r="F1182" t="b">
        <v>0</v>
      </c>
      <c r="G1182" s="4" t="s">
        <v>197</v>
      </c>
      <c r="H1182" t="s">
        <v>132</v>
      </c>
      <c r="I1182" t="b">
        <v>0</v>
      </c>
    </row>
    <row r="1183" spans="1:9" ht="15" hidden="1" customHeight="1" x14ac:dyDescent="0.2">
      <c r="A1183" t="s">
        <v>196</v>
      </c>
      <c r="B1183" s="5">
        <v>45205</v>
      </c>
      <c r="C1183" s="3">
        <v>0.35416666666666669</v>
      </c>
      <c r="D1183" s="5">
        <v>45205</v>
      </c>
      <c r="E1183" s="3">
        <v>0.39583333333333337</v>
      </c>
      <c r="F1183" t="b">
        <v>0</v>
      </c>
      <c r="G1183" s="4" t="s">
        <v>197</v>
      </c>
      <c r="H1183" t="s">
        <v>132</v>
      </c>
      <c r="I1183" t="b">
        <v>0</v>
      </c>
    </row>
    <row r="1184" spans="1:9" ht="15" hidden="1" customHeight="1" x14ac:dyDescent="0.2">
      <c r="A1184" t="s">
        <v>196</v>
      </c>
      <c r="B1184" s="5">
        <v>45208</v>
      </c>
      <c r="C1184" s="3">
        <v>0.4375</v>
      </c>
      <c r="D1184" s="5">
        <v>45208</v>
      </c>
      <c r="E1184" s="3">
        <v>0.47916666666666669</v>
      </c>
      <c r="F1184" t="b">
        <v>0</v>
      </c>
      <c r="G1184" s="4" t="s">
        <v>197</v>
      </c>
      <c r="H1184" t="s">
        <v>132</v>
      </c>
      <c r="I1184" t="b">
        <v>0</v>
      </c>
    </row>
    <row r="1185" spans="1:9" ht="15" hidden="1" customHeight="1" x14ac:dyDescent="0.2">
      <c r="A1185" t="s">
        <v>196</v>
      </c>
      <c r="B1185" s="5">
        <v>45210</v>
      </c>
      <c r="C1185" s="3">
        <v>0.47916666666666669</v>
      </c>
      <c r="D1185" s="5">
        <v>45210</v>
      </c>
      <c r="E1185" s="3">
        <v>0.52083333333333337</v>
      </c>
      <c r="F1185" t="b">
        <v>0</v>
      </c>
      <c r="G1185" s="4" t="s">
        <v>197</v>
      </c>
      <c r="H1185" t="s">
        <v>132</v>
      </c>
      <c r="I1185" t="b">
        <v>0</v>
      </c>
    </row>
    <row r="1186" spans="1:9" ht="15" hidden="1" customHeight="1" x14ac:dyDescent="0.2">
      <c r="A1186" t="s">
        <v>196</v>
      </c>
      <c r="B1186" s="5">
        <v>45212</v>
      </c>
      <c r="C1186" s="3">
        <v>0.35416666666666669</v>
      </c>
      <c r="D1186" s="5">
        <v>45212</v>
      </c>
      <c r="E1186" s="3">
        <v>0.39583333333333337</v>
      </c>
      <c r="F1186" t="b">
        <v>0</v>
      </c>
      <c r="G1186" s="4" t="s">
        <v>197</v>
      </c>
      <c r="H1186" t="s">
        <v>132</v>
      </c>
      <c r="I1186" t="b">
        <v>0</v>
      </c>
    </row>
    <row r="1187" spans="1:9" ht="15" hidden="1" customHeight="1" x14ac:dyDescent="0.2">
      <c r="A1187" t="s">
        <v>196</v>
      </c>
      <c r="B1187" s="5">
        <v>45215</v>
      </c>
      <c r="C1187" s="3">
        <v>0.4375</v>
      </c>
      <c r="D1187" s="5">
        <v>45215</v>
      </c>
      <c r="E1187" s="3">
        <v>0.47916666666666669</v>
      </c>
      <c r="F1187" t="b">
        <v>0</v>
      </c>
      <c r="G1187" s="4" t="s">
        <v>197</v>
      </c>
      <c r="H1187" t="s">
        <v>132</v>
      </c>
      <c r="I1187" t="b">
        <v>0</v>
      </c>
    </row>
    <row r="1188" spans="1:9" ht="15" hidden="1" customHeight="1" x14ac:dyDescent="0.2">
      <c r="A1188" t="s">
        <v>196</v>
      </c>
      <c r="B1188" s="5">
        <v>45217</v>
      </c>
      <c r="C1188" s="3">
        <v>0.47916666666666669</v>
      </c>
      <c r="D1188" s="5">
        <v>45217</v>
      </c>
      <c r="E1188" s="3">
        <v>0.52083333333333337</v>
      </c>
      <c r="F1188" t="b">
        <v>0</v>
      </c>
      <c r="G1188" s="4" t="s">
        <v>197</v>
      </c>
      <c r="H1188" t="s">
        <v>132</v>
      </c>
      <c r="I1188" t="b">
        <v>0</v>
      </c>
    </row>
    <row r="1189" spans="1:9" ht="15" hidden="1" customHeight="1" x14ac:dyDescent="0.2">
      <c r="A1189" t="s">
        <v>196</v>
      </c>
      <c r="B1189" s="5">
        <v>45219</v>
      </c>
      <c r="C1189" s="3">
        <v>0.35416666666666669</v>
      </c>
      <c r="D1189" s="5">
        <v>45219</v>
      </c>
      <c r="E1189" s="3">
        <v>0.39583333333333337</v>
      </c>
      <c r="F1189" t="b">
        <v>0</v>
      </c>
      <c r="G1189" s="4" t="s">
        <v>197</v>
      </c>
      <c r="H1189" t="s">
        <v>132</v>
      </c>
      <c r="I1189" t="b">
        <v>0</v>
      </c>
    </row>
    <row r="1190" spans="1:9" ht="15" hidden="1" customHeight="1" x14ac:dyDescent="0.2">
      <c r="A1190" t="s">
        <v>196</v>
      </c>
      <c r="B1190" s="5">
        <v>45222</v>
      </c>
      <c r="C1190" s="3">
        <v>0.4375</v>
      </c>
      <c r="D1190" s="5">
        <v>45222</v>
      </c>
      <c r="E1190" s="3">
        <v>0.47916666666666669</v>
      </c>
      <c r="F1190" t="b">
        <v>0</v>
      </c>
      <c r="G1190" s="4" t="s">
        <v>197</v>
      </c>
      <c r="H1190" t="s">
        <v>132</v>
      </c>
      <c r="I1190" t="b">
        <v>0</v>
      </c>
    </row>
    <row r="1191" spans="1:9" ht="15" hidden="1" customHeight="1" x14ac:dyDescent="0.2">
      <c r="A1191" t="s">
        <v>196</v>
      </c>
      <c r="B1191" s="5">
        <v>45224</v>
      </c>
      <c r="C1191" s="3">
        <v>0.47916666666666669</v>
      </c>
      <c r="D1191" s="5">
        <v>45224</v>
      </c>
      <c r="E1191" s="3">
        <v>0.52083333333333337</v>
      </c>
      <c r="F1191" t="b">
        <v>0</v>
      </c>
      <c r="G1191" s="4" t="s">
        <v>197</v>
      </c>
      <c r="H1191" t="s">
        <v>132</v>
      </c>
      <c r="I1191" t="b">
        <v>0</v>
      </c>
    </row>
    <row r="1192" spans="1:9" ht="15" hidden="1" customHeight="1" x14ac:dyDescent="0.2">
      <c r="A1192" t="s">
        <v>196</v>
      </c>
      <c r="B1192" s="5">
        <v>45226</v>
      </c>
      <c r="C1192" s="3">
        <v>0.35416666666666669</v>
      </c>
      <c r="D1192" s="5">
        <v>45226</v>
      </c>
      <c r="E1192" s="3">
        <v>0.39583333333333337</v>
      </c>
      <c r="F1192" t="b">
        <v>0</v>
      </c>
      <c r="G1192" s="4" t="s">
        <v>197</v>
      </c>
      <c r="H1192" t="s">
        <v>132</v>
      </c>
      <c r="I1192" t="b">
        <v>0</v>
      </c>
    </row>
    <row r="1193" spans="1:9" ht="15" hidden="1" customHeight="1" x14ac:dyDescent="0.2">
      <c r="A1193" t="s">
        <v>196</v>
      </c>
      <c r="B1193" s="5">
        <v>45229</v>
      </c>
      <c r="C1193" s="3">
        <v>0.4375</v>
      </c>
      <c r="D1193" s="5">
        <v>45229</v>
      </c>
      <c r="E1193" s="3">
        <v>0.47916666666666669</v>
      </c>
      <c r="F1193" t="b">
        <v>0</v>
      </c>
      <c r="G1193" s="4" t="s">
        <v>197</v>
      </c>
      <c r="H1193" t="s">
        <v>132</v>
      </c>
      <c r="I1193" t="b">
        <v>0</v>
      </c>
    </row>
    <row r="1194" spans="1:9" ht="15" hidden="1" customHeight="1" x14ac:dyDescent="0.2">
      <c r="A1194" t="s">
        <v>196</v>
      </c>
      <c r="B1194" s="5">
        <v>45231</v>
      </c>
      <c r="C1194" s="3">
        <v>0.47916666666666669</v>
      </c>
      <c r="D1194" s="5">
        <v>45231</v>
      </c>
      <c r="E1194" s="3">
        <v>0.52083333333333337</v>
      </c>
      <c r="F1194" t="b">
        <v>0</v>
      </c>
      <c r="G1194" s="4" t="s">
        <v>197</v>
      </c>
      <c r="H1194" t="s">
        <v>132</v>
      </c>
      <c r="I1194" t="b">
        <v>0</v>
      </c>
    </row>
    <row r="1195" spans="1:9" ht="15" hidden="1" customHeight="1" x14ac:dyDescent="0.2">
      <c r="A1195" t="s">
        <v>196</v>
      </c>
      <c r="B1195" s="5">
        <v>45233</v>
      </c>
      <c r="C1195" s="3">
        <v>0.35416666666666669</v>
      </c>
      <c r="D1195" s="5">
        <v>45233</v>
      </c>
      <c r="E1195" s="3">
        <v>0.39583333333333337</v>
      </c>
      <c r="F1195" t="b">
        <v>0</v>
      </c>
      <c r="G1195" s="4" t="s">
        <v>197</v>
      </c>
      <c r="H1195" t="s">
        <v>132</v>
      </c>
      <c r="I1195" t="b">
        <v>0</v>
      </c>
    </row>
    <row r="1196" spans="1:9" ht="15" hidden="1" customHeight="1" x14ac:dyDescent="0.2">
      <c r="A1196" t="s">
        <v>196</v>
      </c>
      <c r="B1196" s="5">
        <v>45236</v>
      </c>
      <c r="C1196" s="3">
        <v>0.4375</v>
      </c>
      <c r="D1196" s="5">
        <v>45236</v>
      </c>
      <c r="E1196" s="3">
        <v>0.47916666666666669</v>
      </c>
      <c r="F1196" t="b">
        <v>0</v>
      </c>
      <c r="G1196" s="4" t="s">
        <v>197</v>
      </c>
      <c r="H1196" t="s">
        <v>132</v>
      </c>
      <c r="I1196" t="b">
        <v>0</v>
      </c>
    </row>
    <row r="1197" spans="1:9" ht="15" hidden="1" customHeight="1" x14ac:dyDescent="0.2">
      <c r="A1197" t="s">
        <v>196</v>
      </c>
      <c r="B1197" s="5">
        <v>45238</v>
      </c>
      <c r="C1197" s="3">
        <v>0.47916666666666669</v>
      </c>
      <c r="D1197" s="5">
        <v>45238</v>
      </c>
      <c r="E1197" s="3">
        <v>0.52083333333333337</v>
      </c>
      <c r="F1197" t="b">
        <v>0</v>
      </c>
      <c r="G1197" s="4" t="s">
        <v>197</v>
      </c>
      <c r="H1197" t="s">
        <v>132</v>
      </c>
      <c r="I1197" t="b">
        <v>0</v>
      </c>
    </row>
    <row r="1198" spans="1:9" ht="15" hidden="1" customHeight="1" x14ac:dyDescent="0.2">
      <c r="A1198" t="s">
        <v>196</v>
      </c>
      <c r="B1198" s="5">
        <v>45240</v>
      </c>
      <c r="C1198" s="3">
        <v>0.35416666666666669</v>
      </c>
      <c r="D1198" s="5">
        <v>45240</v>
      </c>
      <c r="E1198" s="3">
        <v>0.39583333333333337</v>
      </c>
      <c r="F1198" t="b">
        <v>0</v>
      </c>
      <c r="G1198" s="4" t="s">
        <v>197</v>
      </c>
      <c r="H1198" t="s">
        <v>132</v>
      </c>
      <c r="I1198" t="b">
        <v>0</v>
      </c>
    </row>
    <row r="1199" spans="1:9" ht="15" hidden="1" customHeight="1" x14ac:dyDescent="0.2">
      <c r="A1199" t="s">
        <v>200</v>
      </c>
      <c r="B1199" s="5">
        <v>45197</v>
      </c>
      <c r="C1199" s="3">
        <v>0.34375</v>
      </c>
      <c r="D1199" s="5">
        <v>45197</v>
      </c>
      <c r="E1199" s="3">
        <v>0.46527777777777773</v>
      </c>
      <c r="F1199" t="b">
        <v>0</v>
      </c>
      <c r="G1199" s="4" t="s">
        <v>201</v>
      </c>
      <c r="I1199" t="b">
        <v>0</v>
      </c>
    </row>
    <row r="1200" spans="1:9" ht="15" hidden="1" customHeight="1" x14ac:dyDescent="0.2">
      <c r="A1200" t="s">
        <v>200</v>
      </c>
      <c r="B1200" s="5">
        <v>45204</v>
      </c>
      <c r="C1200" s="3">
        <v>0.34375</v>
      </c>
      <c r="D1200" s="5">
        <v>45204</v>
      </c>
      <c r="E1200" s="3">
        <v>0.46527777777777773</v>
      </c>
      <c r="F1200" t="b">
        <v>0</v>
      </c>
      <c r="G1200" s="4" t="s">
        <v>201</v>
      </c>
      <c r="I1200" t="b">
        <v>0</v>
      </c>
    </row>
    <row r="1201" spans="1:9" ht="15" hidden="1" customHeight="1" x14ac:dyDescent="0.2">
      <c r="A1201" t="s">
        <v>200</v>
      </c>
      <c r="B1201" s="5">
        <v>45211</v>
      </c>
      <c r="C1201" s="3">
        <v>0.34375</v>
      </c>
      <c r="D1201" s="5">
        <v>45211</v>
      </c>
      <c r="E1201" s="3">
        <v>0.46527777777777773</v>
      </c>
      <c r="F1201" t="b">
        <v>0</v>
      </c>
      <c r="G1201" s="4" t="s">
        <v>201</v>
      </c>
      <c r="I1201" t="b">
        <v>0</v>
      </c>
    </row>
    <row r="1202" spans="1:9" ht="15" hidden="1" customHeight="1" x14ac:dyDescent="0.2">
      <c r="A1202" t="s">
        <v>200</v>
      </c>
      <c r="B1202" s="5">
        <v>45218</v>
      </c>
      <c r="C1202" s="3">
        <v>0.34375</v>
      </c>
      <c r="D1202" s="5">
        <v>45218</v>
      </c>
      <c r="E1202" s="3">
        <v>0.46527777777777773</v>
      </c>
      <c r="F1202" t="b">
        <v>0</v>
      </c>
      <c r="G1202" s="4" t="s">
        <v>201</v>
      </c>
      <c r="I1202" t="b">
        <v>0</v>
      </c>
    </row>
    <row r="1203" spans="1:9" ht="15" hidden="1" customHeight="1" x14ac:dyDescent="0.2">
      <c r="A1203" t="s">
        <v>200</v>
      </c>
      <c r="B1203" s="5">
        <v>45225</v>
      </c>
      <c r="C1203" s="3">
        <v>0.34375</v>
      </c>
      <c r="D1203" s="5">
        <v>45225</v>
      </c>
      <c r="E1203" s="3">
        <v>0.46527777777777773</v>
      </c>
      <c r="F1203" t="b">
        <v>0</v>
      </c>
      <c r="G1203" s="4" t="s">
        <v>201</v>
      </c>
      <c r="I1203" t="b">
        <v>0</v>
      </c>
    </row>
    <row r="1204" spans="1:9" ht="15" hidden="1" customHeight="1" x14ac:dyDescent="0.2">
      <c r="A1204" t="s">
        <v>200</v>
      </c>
      <c r="B1204" s="5">
        <v>45232</v>
      </c>
      <c r="C1204" s="3">
        <v>0.34375</v>
      </c>
      <c r="D1204" s="5">
        <v>45232</v>
      </c>
      <c r="E1204" s="3">
        <v>0.46527777777777773</v>
      </c>
      <c r="F1204" t="b">
        <v>0</v>
      </c>
      <c r="G1204" s="4" t="s">
        <v>201</v>
      </c>
      <c r="I1204" t="b">
        <v>0</v>
      </c>
    </row>
    <row r="1205" spans="1:9" ht="15" hidden="1" customHeight="1" x14ac:dyDescent="0.2">
      <c r="A1205" t="s">
        <v>200</v>
      </c>
      <c r="B1205" s="5">
        <v>45239</v>
      </c>
      <c r="C1205" s="3">
        <v>0.34375</v>
      </c>
      <c r="D1205" s="5">
        <v>45239</v>
      </c>
      <c r="E1205" s="3">
        <v>0.46527777777777773</v>
      </c>
      <c r="F1205" t="b">
        <v>0</v>
      </c>
      <c r="G1205" s="4" t="s">
        <v>201</v>
      </c>
      <c r="I1205" t="b">
        <v>0</v>
      </c>
    </row>
    <row r="1206" spans="1:9" ht="15" hidden="1" customHeight="1" x14ac:dyDescent="0.2">
      <c r="A1206" t="s">
        <v>184</v>
      </c>
      <c r="B1206" s="5">
        <v>45195</v>
      </c>
      <c r="C1206" s="3">
        <v>0.39583333333333331</v>
      </c>
      <c r="D1206" s="5">
        <v>45195</v>
      </c>
      <c r="E1206" s="3">
        <v>0.4375</v>
      </c>
      <c r="F1206" t="b">
        <v>0</v>
      </c>
      <c r="G1206" s="4" t="s">
        <v>185</v>
      </c>
      <c r="H1206" t="s">
        <v>132</v>
      </c>
      <c r="I1206" t="b">
        <v>0</v>
      </c>
    </row>
    <row r="1207" spans="1:9" ht="15" hidden="1" customHeight="1" x14ac:dyDescent="0.2">
      <c r="A1207" t="s">
        <v>184</v>
      </c>
      <c r="B1207" s="5">
        <v>45196</v>
      </c>
      <c r="C1207" s="3">
        <v>0.4375</v>
      </c>
      <c r="D1207" s="5">
        <v>45196</v>
      </c>
      <c r="E1207" s="3">
        <v>0.47916666666666669</v>
      </c>
      <c r="F1207" t="b">
        <v>0</v>
      </c>
      <c r="G1207" s="4" t="s">
        <v>185</v>
      </c>
      <c r="H1207" t="s">
        <v>132</v>
      </c>
      <c r="I1207" t="b">
        <v>0</v>
      </c>
    </row>
    <row r="1208" spans="1:9" ht="15" hidden="1" customHeight="1" x14ac:dyDescent="0.2">
      <c r="A1208" t="s">
        <v>184</v>
      </c>
      <c r="B1208" s="5">
        <v>45198</v>
      </c>
      <c r="C1208" s="3">
        <v>0.47916666666666669</v>
      </c>
      <c r="D1208" s="5">
        <v>45198</v>
      </c>
      <c r="E1208" s="3">
        <v>0.52083333333333337</v>
      </c>
      <c r="F1208" t="b">
        <v>0</v>
      </c>
      <c r="G1208" s="4" t="s">
        <v>185</v>
      </c>
      <c r="H1208" t="s">
        <v>132</v>
      </c>
      <c r="I1208" t="b">
        <v>0</v>
      </c>
    </row>
    <row r="1209" spans="1:9" ht="15" hidden="1" customHeight="1" x14ac:dyDescent="0.2">
      <c r="A1209" t="s">
        <v>184</v>
      </c>
      <c r="B1209" s="5">
        <v>45202</v>
      </c>
      <c r="C1209" s="3">
        <v>0.39583333333333331</v>
      </c>
      <c r="D1209" s="5">
        <v>45202</v>
      </c>
      <c r="E1209" s="3">
        <v>0.4375</v>
      </c>
      <c r="F1209" t="b">
        <v>0</v>
      </c>
      <c r="G1209" s="4" t="s">
        <v>185</v>
      </c>
      <c r="H1209" t="s">
        <v>132</v>
      </c>
      <c r="I1209" t="b">
        <v>0</v>
      </c>
    </row>
    <row r="1210" spans="1:9" ht="15" hidden="1" customHeight="1" x14ac:dyDescent="0.2">
      <c r="A1210" t="s">
        <v>184</v>
      </c>
      <c r="B1210" s="5">
        <v>45203</v>
      </c>
      <c r="C1210" s="3">
        <v>0.4375</v>
      </c>
      <c r="D1210" s="5">
        <v>45203</v>
      </c>
      <c r="E1210" s="3">
        <v>0.47916666666666669</v>
      </c>
      <c r="F1210" t="b">
        <v>0</v>
      </c>
      <c r="G1210" s="4" t="s">
        <v>185</v>
      </c>
      <c r="H1210" t="s">
        <v>132</v>
      </c>
      <c r="I1210" t="b">
        <v>0</v>
      </c>
    </row>
    <row r="1211" spans="1:9" ht="15" hidden="1" customHeight="1" x14ac:dyDescent="0.2">
      <c r="A1211" t="s">
        <v>184</v>
      </c>
      <c r="B1211" s="5">
        <v>45205</v>
      </c>
      <c r="C1211" s="3">
        <v>0.47916666666666669</v>
      </c>
      <c r="D1211" s="5">
        <v>45205</v>
      </c>
      <c r="E1211" s="3">
        <v>0.52083333333333337</v>
      </c>
      <c r="F1211" t="b">
        <v>0</v>
      </c>
      <c r="G1211" s="4" t="s">
        <v>185</v>
      </c>
      <c r="H1211" t="s">
        <v>132</v>
      </c>
      <c r="I1211" t="b">
        <v>0</v>
      </c>
    </row>
    <row r="1212" spans="1:9" ht="15" hidden="1" customHeight="1" x14ac:dyDescent="0.2">
      <c r="A1212" t="s">
        <v>184</v>
      </c>
      <c r="B1212" s="5">
        <v>45209</v>
      </c>
      <c r="C1212" s="3">
        <v>0.39583333333333331</v>
      </c>
      <c r="D1212" s="5">
        <v>45209</v>
      </c>
      <c r="E1212" s="3">
        <v>0.4375</v>
      </c>
      <c r="F1212" t="b">
        <v>0</v>
      </c>
      <c r="G1212" s="4" t="s">
        <v>185</v>
      </c>
      <c r="H1212" t="s">
        <v>132</v>
      </c>
      <c r="I1212" t="b">
        <v>0</v>
      </c>
    </row>
    <row r="1213" spans="1:9" ht="15" hidden="1" customHeight="1" x14ac:dyDescent="0.2">
      <c r="A1213" t="s">
        <v>184</v>
      </c>
      <c r="B1213" s="5">
        <v>45210</v>
      </c>
      <c r="C1213" s="3">
        <v>0.4375</v>
      </c>
      <c r="D1213" s="5">
        <v>45210</v>
      </c>
      <c r="E1213" s="3">
        <v>0.47916666666666669</v>
      </c>
      <c r="F1213" t="b">
        <v>0</v>
      </c>
      <c r="G1213" s="4" t="s">
        <v>185</v>
      </c>
      <c r="H1213" t="s">
        <v>132</v>
      </c>
      <c r="I1213" t="b">
        <v>0</v>
      </c>
    </row>
    <row r="1214" spans="1:9" ht="15" hidden="1" customHeight="1" x14ac:dyDescent="0.2">
      <c r="A1214" t="s">
        <v>184</v>
      </c>
      <c r="B1214" s="5">
        <v>45212</v>
      </c>
      <c r="C1214" s="3">
        <v>0.47916666666666669</v>
      </c>
      <c r="D1214" s="5">
        <v>45212</v>
      </c>
      <c r="E1214" s="3">
        <v>0.52083333333333337</v>
      </c>
      <c r="F1214" t="b">
        <v>0</v>
      </c>
      <c r="G1214" s="4" t="s">
        <v>185</v>
      </c>
      <c r="H1214" t="s">
        <v>132</v>
      </c>
      <c r="I1214" t="b">
        <v>0</v>
      </c>
    </row>
    <row r="1215" spans="1:9" ht="15" hidden="1" customHeight="1" x14ac:dyDescent="0.2">
      <c r="A1215" t="s">
        <v>184</v>
      </c>
      <c r="B1215" s="5">
        <v>45216</v>
      </c>
      <c r="C1215" s="3">
        <v>0.39583333333333331</v>
      </c>
      <c r="D1215" s="5">
        <v>45216</v>
      </c>
      <c r="E1215" s="3">
        <v>0.4375</v>
      </c>
      <c r="F1215" t="b">
        <v>0</v>
      </c>
      <c r="G1215" s="4" t="s">
        <v>185</v>
      </c>
      <c r="H1215" t="s">
        <v>132</v>
      </c>
      <c r="I1215" t="b">
        <v>0</v>
      </c>
    </row>
    <row r="1216" spans="1:9" ht="15" hidden="1" customHeight="1" x14ac:dyDescent="0.2">
      <c r="A1216" t="s">
        <v>184</v>
      </c>
      <c r="B1216" s="5">
        <v>45217</v>
      </c>
      <c r="C1216" s="3">
        <v>0.4375</v>
      </c>
      <c r="D1216" s="5">
        <v>45217</v>
      </c>
      <c r="E1216" s="3">
        <v>0.47916666666666669</v>
      </c>
      <c r="F1216" t="b">
        <v>0</v>
      </c>
      <c r="G1216" s="4" t="s">
        <v>185</v>
      </c>
      <c r="H1216" t="s">
        <v>132</v>
      </c>
      <c r="I1216" t="b">
        <v>0</v>
      </c>
    </row>
    <row r="1217" spans="1:9" ht="15" hidden="1" customHeight="1" x14ac:dyDescent="0.2">
      <c r="A1217" t="s">
        <v>184</v>
      </c>
      <c r="B1217" s="5">
        <v>45219</v>
      </c>
      <c r="C1217" s="3">
        <v>0.47916666666666669</v>
      </c>
      <c r="D1217" s="5">
        <v>45219</v>
      </c>
      <c r="E1217" s="3">
        <v>0.52083333333333337</v>
      </c>
      <c r="F1217" t="b">
        <v>0</v>
      </c>
      <c r="G1217" s="4" t="s">
        <v>185</v>
      </c>
      <c r="H1217" t="s">
        <v>132</v>
      </c>
      <c r="I1217" t="b">
        <v>0</v>
      </c>
    </row>
    <row r="1218" spans="1:9" ht="15" hidden="1" customHeight="1" x14ac:dyDescent="0.2">
      <c r="A1218" t="s">
        <v>184</v>
      </c>
      <c r="B1218" s="5">
        <v>45223</v>
      </c>
      <c r="C1218" s="3">
        <v>0.39583333333333331</v>
      </c>
      <c r="D1218" s="5">
        <v>45223</v>
      </c>
      <c r="E1218" s="3">
        <v>0.4375</v>
      </c>
      <c r="F1218" t="b">
        <v>0</v>
      </c>
      <c r="G1218" s="4" t="s">
        <v>185</v>
      </c>
      <c r="H1218" t="s">
        <v>132</v>
      </c>
      <c r="I1218" t="b">
        <v>0</v>
      </c>
    </row>
    <row r="1219" spans="1:9" ht="15" hidden="1" customHeight="1" x14ac:dyDescent="0.2">
      <c r="A1219" t="s">
        <v>184</v>
      </c>
      <c r="B1219" s="5">
        <v>45224</v>
      </c>
      <c r="C1219" s="3">
        <v>0.4375</v>
      </c>
      <c r="D1219" s="5">
        <v>45224</v>
      </c>
      <c r="E1219" s="3">
        <v>0.47916666666666669</v>
      </c>
      <c r="F1219" t="b">
        <v>0</v>
      </c>
      <c r="G1219" s="4" t="s">
        <v>185</v>
      </c>
      <c r="H1219" t="s">
        <v>132</v>
      </c>
      <c r="I1219" t="b">
        <v>0</v>
      </c>
    </row>
    <row r="1220" spans="1:9" ht="15" hidden="1" customHeight="1" x14ac:dyDescent="0.2">
      <c r="A1220" t="s">
        <v>184</v>
      </c>
      <c r="B1220" s="5">
        <v>45226</v>
      </c>
      <c r="C1220" s="3">
        <v>0.47916666666666669</v>
      </c>
      <c r="D1220" s="5">
        <v>45226</v>
      </c>
      <c r="E1220" s="3">
        <v>0.52083333333333337</v>
      </c>
      <c r="F1220" t="b">
        <v>0</v>
      </c>
      <c r="G1220" s="4" t="s">
        <v>185</v>
      </c>
      <c r="H1220" t="s">
        <v>132</v>
      </c>
      <c r="I1220" t="b">
        <v>0</v>
      </c>
    </row>
    <row r="1221" spans="1:9" ht="15" hidden="1" customHeight="1" x14ac:dyDescent="0.2">
      <c r="A1221" t="s">
        <v>184</v>
      </c>
      <c r="B1221" s="5">
        <v>45230</v>
      </c>
      <c r="C1221" s="3">
        <v>0.39583333333333331</v>
      </c>
      <c r="D1221" s="5">
        <v>45230</v>
      </c>
      <c r="E1221" s="3">
        <v>0.4375</v>
      </c>
      <c r="F1221" t="b">
        <v>0</v>
      </c>
      <c r="G1221" s="4" t="s">
        <v>185</v>
      </c>
      <c r="H1221" t="s">
        <v>132</v>
      </c>
      <c r="I1221" t="b">
        <v>0</v>
      </c>
    </row>
    <row r="1222" spans="1:9" ht="15" hidden="1" customHeight="1" x14ac:dyDescent="0.2">
      <c r="A1222" t="s">
        <v>184</v>
      </c>
      <c r="B1222" s="5">
        <v>45231</v>
      </c>
      <c r="C1222" s="3">
        <v>0.4375</v>
      </c>
      <c r="D1222" s="5">
        <v>45231</v>
      </c>
      <c r="E1222" s="3">
        <v>0.47916666666666669</v>
      </c>
      <c r="F1222" t="b">
        <v>0</v>
      </c>
      <c r="G1222" s="4" t="s">
        <v>185</v>
      </c>
      <c r="H1222" t="s">
        <v>132</v>
      </c>
      <c r="I1222" t="b">
        <v>0</v>
      </c>
    </row>
    <row r="1223" spans="1:9" ht="15" hidden="1" customHeight="1" x14ac:dyDescent="0.2">
      <c r="A1223" t="s">
        <v>184</v>
      </c>
      <c r="B1223" s="5">
        <v>45233</v>
      </c>
      <c r="C1223" s="3">
        <v>0.47916666666666669</v>
      </c>
      <c r="D1223" s="5">
        <v>45233</v>
      </c>
      <c r="E1223" s="3">
        <v>0.52083333333333337</v>
      </c>
      <c r="F1223" t="b">
        <v>0</v>
      </c>
      <c r="G1223" s="4" t="s">
        <v>185</v>
      </c>
      <c r="H1223" t="s">
        <v>132</v>
      </c>
      <c r="I1223" t="b">
        <v>0</v>
      </c>
    </row>
    <row r="1224" spans="1:9" ht="15" hidden="1" customHeight="1" x14ac:dyDescent="0.2">
      <c r="A1224" t="s">
        <v>184</v>
      </c>
      <c r="B1224" s="5">
        <v>45237</v>
      </c>
      <c r="C1224" s="3">
        <v>0.39583333333333331</v>
      </c>
      <c r="D1224" s="5">
        <v>45237</v>
      </c>
      <c r="E1224" s="3">
        <v>0.4375</v>
      </c>
      <c r="F1224" t="b">
        <v>0</v>
      </c>
      <c r="G1224" s="4" t="s">
        <v>185</v>
      </c>
      <c r="H1224" t="s">
        <v>132</v>
      </c>
      <c r="I1224" t="b">
        <v>0</v>
      </c>
    </row>
    <row r="1225" spans="1:9" ht="15" hidden="1" customHeight="1" x14ac:dyDescent="0.2">
      <c r="A1225" t="s">
        <v>184</v>
      </c>
      <c r="B1225" s="5">
        <v>45238</v>
      </c>
      <c r="C1225" s="3">
        <v>0.4375</v>
      </c>
      <c r="D1225" s="5">
        <v>45238</v>
      </c>
      <c r="E1225" s="3">
        <v>0.47916666666666669</v>
      </c>
      <c r="F1225" t="b">
        <v>0</v>
      </c>
      <c r="G1225" s="4" t="s">
        <v>185</v>
      </c>
      <c r="H1225" t="s">
        <v>132</v>
      </c>
      <c r="I1225" t="b">
        <v>0</v>
      </c>
    </row>
    <row r="1226" spans="1:9" ht="15" hidden="1" customHeight="1" x14ac:dyDescent="0.2">
      <c r="A1226" t="s">
        <v>184</v>
      </c>
      <c r="B1226" s="5">
        <v>45240</v>
      </c>
      <c r="C1226" s="3">
        <v>0.47916666666666669</v>
      </c>
      <c r="D1226" s="5">
        <v>45240</v>
      </c>
      <c r="E1226" s="3">
        <v>0.52083333333333337</v>
      </c>
      <c r="F1226" t="b">
        <v>0</v>
      </c>
      <c r="G1226" s="4" t="s">
        <v>185</v>
      </c>
      <c r="H1226" t="s">
        <v>132</v>
      </c>
      <c r="I1226" t="b">
        <v>0</v>
      </c>
    </row>
    <row r="1227" spans="1:9" ht="15" hidden="1" customHeight="1" x14ac:dyDescent="0.2">
      <c r="A1227" t="s">
        <v>174</v>
      </c>
      <c r="B1227" s="5">
        <v>45194</v>
      </c>
      <c r="C1227" s="3">
        <v>0.58333333333333337</v>
      </c>
      <c r="D1227" s="5">
        <v>45194</v>
      </c>
      <c r="E1227" s="3">
        <v>0.625</v>
      </c>
      <c r="F1227" t="b">
        <v>0</v>
      </c>
      <c r="G1227" s="4" t="s">
        <v>175</v>
      </c>
      <c r="H1227" t="s">
        <v>125</v>
      </c>
      <c r="I1227" t="b">
        <v>0</v>
      </c>
    </row>
    <row r="1228" spans="1:9" ht="15" hidden="1" customHeight="1" x14ac:dyDescent="0.2">
      <c r="A1228" t="s">
        <v>198</v>
      </c>
      <c r="B1228" s="5">
        <v>45201</v>
      </c>
      <c r="C1228" s="3">
        <v>0.58333333333333337</v>
      </c>
      <c r="D1228" s="5">
        <v>45201</v>
      </c>
      <c r="E1228" s="3">
        <v>0.70833333333333337</v>
      </c>
      <c r="F1228" t="b">
        <v>0</v>
      </c>
      <c r="G1228" s="4" t="s">
        <v>199</v>
      </c>
      <c r="I1228" t="b">
        <v>0</v>
      </c>
    </row>
    <row r="1229" spans="1:9" ht="15" hidden="1" customHeight="1" x14ac:dyDescent="0.2">
      <c r="A1229" t="s">
        <v>198</v>
      </c>
      <c r="B1229" s="5">
        <v>45208</v>
      </c>
      <c r="C1229" s="3">
        <v>0.58333333333333337</v>
      </c>
      <c r="D1229" s="5">
        <v>45208</v>
      </c>
      <c r="E1229" s="3">
        <v>0.70833333333333337</v>
      </c>
      <c r="F1229" t="b">
        <v>0</v>
      </c>
      <c r="G1229" s="4" t="s">
        <v>199</v>
      </c>
      <c r="I1229" t="b">
        <v>0</v>
      </c>
    </row>
    <row r="1230" spans="1:9" ht="15" hidden="1" customHeight="1" x14ac:dyDescent="0.2">
      <c r="A1230" t="s">
        <v>198</v>
      </c>
      <c r="B1230" s="5">
        <v>45215</v>
      </c>
      <c r="C1230" s="3">
        <v>0.58333333333333337</v>
      </c>
      <c r="D1230" s="5">
        <v>45215</v>
      </c>
      <c r="E1230" s="3">
        <v>0.70833333333333337</v>
      </c>
      <c r="F1230" t="b">
        <v>0</v>
      </c>
      <c r="G1230" s="4" t="s">
        <v>199</v>
      </c>
      <c r="I1230" t="b">
        <v>0</v>
      </c>
    </row>
    <row r="1231" spans="1:9" ht="15" hidden="1" customHeight="1" x14ac:dyDescent="0.2">
      <c r="A1231" t="s">
        <v>198</v>
      </c>
      <c r="B1231" s="5">
        <v>45222</v>
      </c>
      <c r="C1231" s="3">
        <v>0.58333333333333337</v>
      </c>
      <c r="D1231" s="5">
        <v>45222</v>
      </c>
      <c r="E1231" s="3">
        <v>0.70833333333333337</v>
      </c>
      <c r="F1231" t="b">
        <v>0</v>
      </c>
      <c r="G1231" s="4" t="s">
        <v>199</v>
      </c>
      <c r="I1231" t="b">
        <v>0</v>
      </c>
    </row>
    <row r="1232" spans="1:9" ht="15" hidden="1" customHeight="1" x14ac:dyDescent="0.2">
      <c r="A1232" t="s">
        <v>198</v>
      </c>
      <c r="B1232" s="5">
        <v>45229</v>
      </c>
      <c r="C1232" s="3">
        <v>0.58333333333333337</v>
      </c>
      <c r="D1232" s="5">
        <v>45229</v>
      </c>
      <c r="E1232" s="3">
        <v>0.70833333333333337</v>
      </c>
      <c r="F1232" t="b">
        <v>0</v>
      </c>
      <c r="G1232" s="4" t="s">
        <v>199</v>
      </c>
      <c r="I1232" t="b">
        <v>0</v>
      </c>
    </row>
    <row r="1233" spans="1:9" ht="15" hidden="1" customHeight="1" x14ac:dyDescent="0.2">
      <c r="A1233" t="s">
        <v>198</v>
      </c>
      <c r="B1233" s="5">
        <v>45236</v>
      </c>
      <c r="C1233" s="3">
        <v>0.58333333333333337</v>
      </c>
      <c r="D1233" s="5">
        <v>45236</v>
      </c>
      <c r="E1233" s="3">
        <v>0.70833333333333337</v>
      </c>
      <c r="F1233" t="b">
        <v>0</v>
      </c>
      <c r="G1233" s="4" t="s">
        <v>199</v>
      </c>
      <c r="I1233" t="b">
        <v>0</v>
      </c>
    </row>
    <row r="1234" spans="1:9" ht="15" hidden="1" customHeight="1" x14ac:dyDescent="0.2">
      <c r="A1234" t="s">
        <v>208</v>
      </c>
      <c r="B1234" s="5">
        <v>45195</v>
      </c>
      <c r="C1234" s="3">
        <v>0.66666666666666663</v>
      </c>
      <c r="D1234" s="5">
        <v>45195</v>
      </c>
      <c r="E1234" s="3">
        <v>0.70833333333333326</v>
      </c>
      <c r="F1234" t="b">
        <v>0</v>
      </c>
      <c r="G1234" s="4" t="s">
        <v>209</v>
      </c>
      <c r="H1234" t="s">
        <v>243</v>
      </c>
      <c r="I1234" t="b">
        <v>0</v>
      </c>
    </row>
    <row r="1235" spans="1:9" ht="15" hidden="1" customHeight="1" x14ac:dyDescent="0.2">
      <c r="A1235" t="s">
        <v>208</v>
      </c>
      <c r="B1235" s="5">
        <v>45196</v>
      </c>
      <c r="C1235" s="3">
        <v>0.70833333333333337</v>
      </c>
      <c r="D1235" s="5">
        <v>45196</v>
      </c>
      <c r="E1235" s="3">
        <v>0.75</v>
      </c>
      <c r="F1235" t="b">
        <v>0</v>
      </c>
      <c r="G1235" s="4" t="s">
        <v>209</v>
      </c>
      <c r="H1235" t="s">
        <v>243</v>
      </c>
      <c r="I1235" t="b">
        <v>0</v>
      </c>
    </row>
    <row r="1236" spans="1:9" ht="15" hidden="1" customHeight="1" x14ac:dyDescent="0.2">
      <c r="A1236" t="s">
        <v>208</v>
      </c>
      <c r="B1236" s="5">
        <v>45197</v>
      </c>
      <c r="C1236" s="3">
        <v>0.58333333333333337</v>
      </c>
      <c r="D1236" s="5">
        <v>45197</v>
      </c>
      <c r="E1236" s="3">
        <v>0.625</v>
      </c>
      <c r="F1236" t="b">
        <v>0</v>
      </c>
      <c r="G1236" s="4" t="s">
        <v>209</v>
      </c>
      <c r="H1236" t="s">
        <v>243</v>
      </c>
      <c r="I1236" t="b">
        <v>0</v>
      </c>
    </row>
    <row r="1237" spans="1:9" ht="15" hidden="1" customHeight="1" x14ac:dyDescent="0.2">
      <c r="A1237" t="s">
        <v>208</v>
      </c>
      <c r="B1237" s="5">
        <v>45202</v>
      </c>
      <c r="C1237" s="3">
        <v>0.66666666666666663</v>
      </c>
      <c r="D1237" s="5">
        <v>45202</v>
      </c>
      <c r="E1237" s="3">
        <v>0.70833333333333326</v>
      </c>
      <c r="F1237" t="b">
        <v>0</v>
      </c>
      <c r="G1237" s="4" t="s">
        <v>209</v>
      </c>
      <c r="H1237" t="s">
        <v>243</v>
      </c>
      <c r="I1237" t="b">
        <v>0</v>
      </c>
    </row>
    <row r="1238" spans="1:9" ht="15" hidden="1" customHeight="1" x14ac:dyDescent="0.2">
      <c r="A1238" t="s">
        <v>208</v>
      </c>
      <c r="B1238" s="5">
        <v>45203</v>
      </c>
      <c r="C1238" s="3">
        <v>0.70833333333333337</v>
      </c>
      <c r="D1238" s="5">
        <v>45203</v>
      </c>
      <c r="E1238" s="3">
        <v>0.75</v>
      </c>
      <c r="F1238" t="b">
        <v>0</v>
      </c>
      <c r="G1238" s="4" t="s">
        <v>209</v>
      </c>
      <c r="H1238" t="s">
        <v>243</v>
      </c>
      <c r="I1238" t="b">
        <v>0</v>
      </c>
    </row>
    <row r="1239" spans="1:9" ht="15" hidden="1" customHeight="1" x14ac:dyDescent="0.2">
      <c r="A1239" t="s">
        <v>208</v>
      </c>
      <c r="B1239" s="5">
        <v>45204</v>
      </c>
      <c r="C1239" s="3">
        <v>0.58333333333333337</v>
      </c>
      <c r="D1239" s="5">
        <v>45204</v>
      </c>
      <c r="E1239" s="3">
        <v>0.625</v>
      </c>
      <c r="F1239" t="b">
        <v>0</v>
      </c>
      <c r="G1239" s="4" t="s">
        <v>209</v>
      </c>
      <c r="H1239" t="s">
        <v>243</v>
      </c>
      <c r="I1239" t="b">
        <v>0</v>
      </c>
    </row>
    <row r="1240" spans="1:9" ht="15" hidden="1" customHeight="1" x14ac:dyDescent="0.2">
      <c r="A1240" t="s">
        <v>208</v>
      </c>
      <c r="B1240" s="5">
        <v>45209</v>
      </c>
      <c r="C1240" s="3">
        <v>0.66666666666666663</v>
      </c>
      <c r="D1240" s="5">
        <v>45209</v>
      </c>
      <c r="E1240" s="3">
        <v>0.70833333333333326</v>
      </c>
      <c r="F1240" t="b">
        <v>0</v>
      </c>
      <c r="G1240" s="4" t="s">
        <v>209</v>
      </c>
      <c r="H1240" t="s">
        <v>243</v>
      </c>
      <c r="I1240" t="b">
        <v>0</v>
      </c>
    </row>
    <row r="1241" spans="1:9" ht="15" hidden="1" customHeight="1" x14ac:dyDescent="0.2">
      <c r="A1241" t="s">
        <v>208</v>
      </c>
      <c r="B1241" s="5">
        <v>45210</v>
      </c>
      <c r="C1241" s="3">
        <v>0.70833333333333337</v>
      </c>
      <c r="D1241" s="5">
        <v>45210</v>
      </c>
      <c r="E1241" s="3">
        <v>0.75</v>
      </c>
      <c r="F1241" t="b">
        <v>0</v>
      </c>
      <c r="G1241" s="4" t="s">
        <v>209</v>
      </c>
      <c r="H1241" t="s">
        <v>243</v>
      </c>
      <c r="I1241" t="b">
        <v>0</v>
      </c>
    </row>
    <row r="1242" spans="1:9" ht="15" hidden="1" customHeight="1" x14ac:dyDescent="0.2">
      <c r="A1242" t="s">
        <v>208</v>
      </c>
      <c r="B1242" s="5">
        <v>45211</v>
      </c>
      <c r="C1242" s="3">
        <v>0.58333333333333337</v>
      </c>
      <c r="D1242" s="5">
        <v>45211</v>
      </c>
      <c r="E1242" s="3">
        <v>0.625</v>
      </c>
      <c r="F1242" t="b">
        <v>0</v>
      </c>
      <c r="G1242" s="4" t="s">
        <v>209</v>
      </c>
      <c r="H1242" t="s">
        <v>243</v>
      </c>
      <c r="I1242" t="b">
        <v>0</v>
      </c>
    </row>
    <row r="1243" spans="1:9" ht="15" hidden="1" customHeight="1" x14ac:dyDescent="0.2">
      <c r="A1243" t="s">
        <v>208</v>
      </c>
      <c r="B1243" s="5">
        <v>45216</v>
      </c>
      <c r="C1243" s="3">
        <v>0.66666666666666663</v>
      </c>
      <c r="D1243" s="5">
        <v>45216</v>
      </c>
      <c r="E1243" s="3">
        <v>0.70833333333333326</v>
      </c>
      <c r="F1243" t="b">
        <v>0</v>
      </c>
      <c r="G1243" s="4" t="s">
        <v>209</v>
      </c>
      <c r="H1243" t="s">
        <v>243</v>
      </c>
      <c r="I1243" t="b">
        <v>0</v>
      </c>
    </row>
    <row r="1244" spans="1:9" ht="15" hidden="1" customHeight="1" x14ac:dyDescent="0.2">
      <c r="A1244" t="s">
        <v>208</v>
      </c>
      <c r="B1244" s="5">
        <v>45217</v>
      </c>
      <c r="C1244" s="3">
        <v>0.70833333333333337</v>
      </c>
      <c r="D1244" s="5">
        <v>45217</v>
      </c>
      <c r="E1244" s="3">
        <v>0.75</v>
      </c>
      <c r="F1244" t="b">
        <v>0</v>
      </c>
      <c r="G1244" s="4" t="s">
        <v>209</v>
      </c>
      <c r="H1244" t="s">
        <v>243</v>
      </c>
      <c r="I1244" t="b">
        <v>0</v>
      </c>
    </row>
    <row r="1245" spans="1:9" ht="15" hidden="1" customHeight="1" x14ac:dyDescent="0.2">
      <c r="A1245" t="s">
        <v>208</v>
      </c>
      <c r="B1245" s="5">
        <v>45218</v>
      </c>
      <c r="C1245" s="3">
        <v>0.58333333333333337</v>
      </c>
      <c r="D1245" s="5">
        <v>45218</v>
      </c>
      <c r="E1245" s="3">
        <v>0.625</v>
      </c>
      <c r="F1245" t="b">
        <v>0</v>
      </c>
      <c r="G1245" s="4" t="s">
        <v>209</v>
      </c>
      <c r="H1245" t="s">
        <v>243</v>
      </c>
      <c r="I1245" t="b">
        <v>0</v>
      </c>
    </row>
    <row r="1246" spans="1:9" ht="15" hidden="1" customHeight="1" x14ac:dyDescent="0.2">
      <c r="A1246" t="s">
        <v>208</v>
      </c>
      <c r="B1246" s="5">
        <v>45223</v>
      </c>
      <c r="C1246" s="3">
        <v>0.66666666666666663</v>
      </c>
      <c r="D1246" s="5">
        <v>45223</v>
      </c>
      <c r="E1246" s="3">
        <v>0.70833333333333326</v>
      </c>
      <c r="F1246" t="b">
        <v>0</v>
      </c>
      <c r="G1246" s="4" t="s">
        <v>209</v>
      </c>
      <c r="H1246" t="s">
        <v>243</v>
      </c>
      <c r="I1246" t="b">
        <v>0</v>
      </c>
    </row>
    <row r="1247" spans="1:9" ht="15" hidden="1" customHeight="1" x14ac:dyDescent="0.2">
      <c r="A1247" t="s">
        <v>208</v>
      </c>
      <c r="B1247" s="5">
        <v>45224</v>
      </c>
      <c r="C1247" s="3">
        <v>0.70833333333333337</v>
      </c>
      <c r="D1247" s="5">
        <v>45224</v>
      </c>
      <c r="E1247" s="3">
        <v>0.75</v>
      </c>
      <c r="F1247" t="b">
        <v>0</v>
      </c>
      <c r="G1247" s="4" t="s">
        <v>209</v>
      </c>
      <c r="H1247" t="s">
        <v>243</v>
      </c>
      <c r="I1247" t="b">
        <v>0</v>
      </c>
    </row>
    <row r="1248" spans="1:9" ht="15" hidden="1" customHeight="1" x14ac:dyDescent="0.2">
      <c r="A1248" t="s">
        <v>208</v>
      </c>
      <c r="B1248" s="5">
        <v>45225</v>
      </c>
      <c r="C1248" s="3">
        <v>0.58333333333333337</v>
      </c>
      <c r="D1248" s="5">
        <v>45225</v>
      </c>
      <c r="E1248" s="3">
        <v>0.625</v>
      </c>
      <c r="F1248" t="b">
        <v>0</v>
      </c>
      <c r="G1248" s="4" t="s">
        <v>209</v>
      </c>
      <c r="H1248" t="s">
        <v>243</v>
      </c>
      <c r="I1248" t="b">
        <v>0</v>
      </c>
    </row>
    <row r="1249" spans="1:9" ht="15" hidden="1" customHeight="1" x14ac:dyDescent="0.2">
      <c r="A1249" t="s">
        <v>208</v>
      </c>
      <c r="B1249" s="5">
        <v>45230</v>
      </c>
      <c r="C1249" s="3">
        <v>0.66666666666666663</v>
      </c>
      <c r="D1249" s="5">
        <v>45230</v>
      </c>
      <c r="E1249" s="3">
        <v>0.70833333333333326</v>
      </c>
      <c r="F1249" t="b">
        <v>0</v>
      </c>
      <c r="G1249" s="4" t="s">
        <v>209</v>
      </c>
      <c r="H1249" t="s">
        <v>243</v>
      </c>
      <c r="I1249" t="b">
        <v>0</v>
      </c>
    </row>
    <row r="1250" spans="1:9" ht="15" hidden="1" customHeight="1" x14ac:dyDescent="0.2">
      <c r="A1250" t="s">
        <v>208</v>
      </c>
      <c r="B1250" s="5">
        <v>45231</v>
      </c>
      <c r="C1250" s="3">
        <v>0.70833333333333337</v>
      </c>
      <c r="D1250" s="5">
        <v>45231</v>
      </c>
      <c r="E1250" s="3">
        <v>0.75</v>
      </c>
      <c r="F1250" t="b">
        <v>0</v>
      </c>
      <c r="G1250" s="4" t="s">
        <v>209</v>
      </c>
      <c r="H1250" t="s">
        <v>243</v>
      </c>
      <c r="I1250" t="b">
        <v>0</v>
      </c>
    </row>
    <row r="1251" spans="1:9" ht="15" hidden="1" customHeight="1" x14ac:dyDescent="0.2">
      <c r="A1251" t="s">
        <v>208</v>
      </c>
      <c r="B1251" s="5">
        <v>45232</v>
      </c>
      <c r="C1251" s="3">
        <v>0.58333333333333337</v>
      </c>
      <c r="D1251" s="5">
        <v>45232</v>
      </c>
      <c r="E1251" s="3">
        <v>0.625</v>
      </c>
      <c r="F1251" t="b">
        <v>0</v>
      </c>
      <c r="G1251" s="4" t="s">
        <v>209</v>
      </c>
      <c r="H1251" t="s">
        <v>243</v>
      </c>
      <c r="I1251" t="b">
        <v>0</v>
      </c>
    </row>
    <row r="1252" spans="1:9" ht="15" hidden="1" customHeight="1" x14ac:dyDescent="0.2">
      <c r="A1252" t="s">
        <v>208</v>
      </c>
      <c r="B1252" s="5">
        <v>45237</v>
      </c>
      <c r="C1252" s="3">
        <v>0.66666666666666663</v>
      </c>
      <c r="D1252" s="5">
        <v>45237</v>
      </c>
      <c r="E1252" s="3">
        <v>0.70833333333333326</v>
      </c>
      <c r="F1252" t="b">
        <v>0</v>
      </c>
      <c r="G1252" s="4" t="s">
        <v>209</v>
      </c>
      <c r="H1252" t="s">
        <v>243</v>
      </c>
      <c r="I1252" t="b">
        <v>0</v>
      </c>
    </row>
    <row r="1253" spans="1:9" ht="15" hidden="1" customHeight="1" x14ac:dyDescent="0.2">
      <c r="A1253" t="s">
        <v>208</v>
      </c>
      <c r="B1253" s="5">
        <v>45238</v>
      </c>
      <c r="C1253" s="3">
        <v>0.70833333333333337</v>
      </c>
      <c r="D1253" s="5">
        <v>45238</v>
      </c>
      <c r="E1253" s="3">
        <v>0.75</v>
      </c>
      <c r="F1253" t="b">
        <v>0</v>
      </c>
      <c r="G1253" s="4" t="s">
        <v>209</v>
      </c>
      <c r="H1253" t="s">
        <v>243</v>
      </c>
      <c r="I1253" t="b">
        <v>0</v>
      </c>
    </row>
    <row r="1254" spans="1:9" ht="15" hidden="1" customHeight="1" x14ac:dyDescent="0.2">
      <c r="A1254" t="s">
        <v>208</v>
      </c>
      <c r="B1254" s="5">
        <v>45239</v>
      </c>
      <c r="C1254" s="3">
        <v>0.58333333333333337</v>
      </c>
      <c r="D1254" s="5">
        <v>45239</v>
      </c>
      <c r="E1254" s="3">
        <v>0.625</v>
      </c>
      <c r="F1254" t="b">
        <v>0</v>
      </c>
      <c r="G1254" s="4" t="s">
        <v>209</v>
      </c>
      <c r="H1254" t="s">
        <v>243</v>
      </c>
      <c r="I1254" t="b">
        <v>0</v>
      </c>
    </row>
    <row r="1255" spans="1:9" ht="15" hidden="1" customHeight="1" x14ac:dyDescent="0.2">
      <c r="A1255" t="s">
        <v>129</v>
      </c>
      <c r="B1255" s="5">
        <v>45194</v>
      </c>
      <c r="C1255" s="3">
        <v>0.58333333333333337</v>
      </c>
      <c r="D1255" s="5">
        <v>45194</v>
      </c>
      <c r="E1255" s="3">
        <v>0.70833333333333337</v>
      </c>
      <c r="F1255" t="b">
        <v>0</v>
      </c>
      <c r="G1255" s="4" t="s">
        <v>130</v>
      </c>
      <c r="H1255" t="s">
        <v>118</v>
      </c>
      <c r="I1255" t="b">
        <v>0</v>
      </c>
    </row>
    <row r="1256" spans="1:9" ht="15" hidden="1" customHeight="1" x14ac:dyDescent="0.2">
      <c r="A1256" t="s">
        <v>144</v>
      </c>
      <c r="B1256" s="5">
        <v>45196</v>
      </c>
      <c r="C1256" s="3">
        <v>0.4375</v>
      </c>
      <c r="D1256" s="5">
        <v>45196</v>
      </c>
      <c r="E1256" s="3">
        <v>0.47916666666666669</v>
      </c>
      <c r="F1256" t="b">
        <v>0</v>
      </c>
      <c r="G1256" s="4" t="s">
        <v>145</v>
      </c>
      <c r="H1256" t="s">
        <v>148</v>
      </c>
      <c r="I1256" t="b">
        <v>0</v>
      </c>
    </row>
    <row r="1257" spans="1:9" ht="15" hidden="1" customHeight="1" x14ac:dyDescent="0.2">
      <c r="A1257" t="s">
        <v>144</v>
      </c>
      <c r="B1257" s="5">
        <v>45198</v>
      </c>
      <c r="C1257" s="3">
        <v>0.47916666666666669</v>
      </c>
      <c r="D1257" s="5">
        <v>45198</v>
      </c>
      <c r="E1257" s="3">
        <v>0.52083333333333337</v>
      </c>
      <c r="F1257" t="b">
        <v>0</v>
      </c>
      <c r="G1257" s="4" t="s">
        <v>145</v>
      </c>
      <c r="H1257" t="s">
        <v>148</v>
      </c>
      <c r="I1257" t="b">
        <v>0</v>
      </c>
    </row>
    <row r="1258" spans="1:9" ht="15" hidden="1" customHeight="1" x14ac:dyDescent="0.2">
      <c r="A1258" t="s">
        <v>144</v>
      </c>
      <c r="B1258" s="5">
        <v>45201</v>
      </c>
      <c r="C1258" s="3">
        <v>0.39583333333333331</v>
      </c>
      <c r="D1258" s="5">
        <v>45201</v>
      </c>
      <c r="E1258" s="3">
        <v>0.4375</v>
      </c>
      <c r="F1258" t="b">
        <v>0</v>
      </c>
      <c r="G1258" s="4" t="s">
        <v>145</v>
      </c>
      <c r="H1258" t="s">
        <v>148</v>
      </c>
      <c r="I1258" t="b">
        <v>0</v>
      </c>
    </row>
    <row r="1259" spans="1:9" ht="15" hidden="1" customHeight="1" x14ac:dyDescent="0.2">
      <c r="A1259" t="s">
        <v>144</v>
      </c>
      <c r="B1259" s="5">
        <v>45203</v>
      </c>
      <c r="C1259" s="3">
        <v>0.4375</v>
      </c>
      <c r="D1259" s="5">
        <v>45203</v>
      </c>
      <c r="E1259" s="3">
        <v>0.47916666666666669</v>
      </c>
      <c r="F1259" t="b">
        <v>0</v>
      </c>
      <c r="G1259" s="4" t="s">
        <v>145</v>
      </c>
      <c r="H1259" t="s">
        <v>148</v>
      </c>
      <c r="I1259" t="b">
        <v>0</v>
      </c>
    </row>
    <row r="1260" spans="1:9" ht="15" hidden="1" customHeight="1" x14ac:dyDescent="0.2">
      <c r="A1260" t="s">
        <v>144</v>
      </c>
      <c r="B1260" s="5">
        <v>45205</v>
      </c>
      <c r="C1260" s="3">
        <v>0.47916666666666669</v>
      </c>
      <c r="D1260" s="5">
        <v>45205</v>
      </c>
      <c r="E1260" s="3">
        <v>0.52083333333333337</v>
      </c>
      <c r="F1260" t="b">
        <v>0</v>
      </c>
      <c r="G1260" s="4" t="s">
        <v>145</v>
      </c>
      <c r="H1260" t="s">
        <v>148</v>
      </c>
      <c r="I1260" t="b">
        <v>0</v>
      </c>
    </row>
    <row r="1261" spans="1:9" ht="15" hidden="1" customHeight="1" x14ac:dyDescent="0.2">
      <c r="A1261" t="s">
        <v>144</v>
      </c>
      <c r="B1261" s="5">
        <v>45208</v>
      </c>
      <c r="C1261" s="3">
        <v>0.39583333333333331</v>
      </c>
      <c r="D1261" s="5">
        <v>45208</v>
      </c>
      <c r="E1261" s="3">
        <v>0.4375</v>
      </c>
      <c r="F1261" t="b">
        <v>0</v>
      </c>
      <c r="G1261" s="4" t="s">
        <v>145</v>
      </c>
      <c r="H1261" t="s">
        <v>148</v>
      </c>
      <c r="I1261" t="b">
        <v>0</v>
      </c>
    </row>
    <row r="1262" spans="1:9" ht="15" hidden="1" customHeight="1" x14ac:dyDescent="0.2">
      <c r="A1262" t="s">
        <v>144</v>
      </c>
      <c r="B1262" s="5">
        <v>45210</v>
      </c>
      <c r="C1262" s="3">
        <v>0.4375</v>
      </c>
      <c r="D1262" s="5">
        <v>45210</v>
      </c>
      <c r="E1262" s="3">
        <v>0.47916666666666669</v>
      </c>
      <c r="F1262" t="b">
        <v>0</v>
      </c>
      <c r="G1262" s="4" t="s">
        <v>145</v>
      </c>
      <c r="H1262" t="s">
        <v>148</v>
      </c>
      <c r="I1262" t="b">
        <v>0</v>
      </c>
    </row>
    <row r="1263" spans="1:9" ht="15" hidden="1" customHeight="1" x14ac:dyDescent="0.2">
      <c r="A1263" t="s">
        <v>144</v>
      </c>
      <c r="B1263" s="5">
        <v>45212</v>
      </c>
      <c r="C1263" s="3">
        <v>0.47916666666666669</v>
      </c>
      <c r="D1263" s="5">
        <v>45212</v>
      </c>
      <c r="E1263" s="3">
        <v>0.52083333333333337</v>
      </c>
      <c r="F1263" t="b">
        <v>0</v>
      </c>
      <c r="G1263" s="4" t="s">
        <v>145</v>
      </c>
      <c r="H1263" t="s">
        <v>148</v>
      </c>
      <c r="I1263" t="b">
        <v>0</v>
      </c>
    </row>
    <row r="1264" spans="1:9" ht="15" hidden="1" customHeight="1" x14ac:dyDescent="0.2">
      <c r="A1264" t="s">
        <v>144</v>
      </c>
      <c r="B1264" s="5">
        <v>45215</v>
      </c>
      <c r="C1264" s="3">
        <v>0.39583333333333331</v>
      </c>
      <c r="D1264" s="5">
        <v>45215</v>
      </c>
      <c r="E1264" s="3">
        <v>0.4375</v>
      </c>
      <c r="F1264" t="b">
        <v>0</v>
      </c>
      <c r="G1264" s="4" t="s">
        <v>145</v>
      </c>
      <c r="H1264" t="s">
        <v>148</v>
      </c>
      <c r="I1264" t="b">
        <v>0</v>
      </c>
    </row>
    <row r="1265" spans="1:9" ht="15" hidden="1" customHeight="1" x14ac:dyDescent="0.2">
      <c r="A1265" t="s">
        <v>144</v>
      </c>
      <c r="B1265" s="5">
        <v>45217</v>
      </c>
      <c r="C1265" s="3">
        <v>0.4375</v>
      </c>
      <c r="D1265" s="5">
        <v>45217</v>
      </c>
      <c r="E1265" s="3">
        <v>0.47916666666666669</v>
      </c>
      <c r="F1265" t="b">
        <v>0</v>
      </c>
      <c r="G1265" s="4" t="s">
        <v>145</v>
      </c>
      <c r="H1265" t="s">
        <v>148</v>
      </c>
      <c r="I1265" t="b">
        <v>0</v>
      </c>
    </row>
    <row r="1266" spans="1:9" ht="15" hidden="1" customHeight="1" x14ac:dyDescent="0.2">
      <c r="A1266" t="s">
        <v>144</v>
      </c>
      <c r="B1266" s="5">
        <v>45219</v>
      </c>
      <c r="C1266" s="3">
        <v>0.47916666666666669</v>
      </c>
      <c r="D1266" s="5">
        <v>45219</v>
      </c>
      <c r="E1266" s="3">
        <v>0.52083333333333337</v>
      </c>
      <c r="F1266" t="b">
        <v>0</v>
      </c>
      <c r="G1266" s="4" t="s">
        <v>145</v>
      </c>
      <c r="H1266" t="s">
        <v>148</v>
      </c>
      <c r="I1266" t="b">
        <v>0</v>
      </c>
    </row>
    <row r="1267" spans="1:9" ht="15" hidden="1" customHeight="1" x14ac:dyDescent="0.2">
      <c r="A1267" t="s">
        <v>144</v>
      </c>
      <c r="B1267" s="5">
        <v>45222</v>
      </c>
      <c r="C1267" s="3">
        <v>0.39583333333333331</v>
      </c>
      <c r="D1267" s="5">
        <v>45222</v>
      </c>
      <c r="E1267" s="3">
        <v>0.4375</v>
      </c>
      <c r="F1267" t="b">
        <v>0</v>
      </c>
      <c r="G1267" s="4" t="s">
        <v>145</v>
      </c>
      <c r="H1267" t="s">
        <v>148</v>
      </c>
      <c r="I1267" t="b">
        <v>0</v>
      </c>
    </row>
    <row r="1268" spans="1:9" ht="15" hidden="1" customHeight="1" x14ac:dyDescent="0.2">
      <c r="A1268" t="s">
        <v>144</v>
      </c>
      <c r="B1268" s="5">
        <v>45224</v>
      </c>
      <c r="C1268" s="3">
        <v>0.4375</v>
      </c>
      <c r="D1268" s="5">
        <v>45224</v>
      </c>
      <c r="E1268" s="3">
        <v>0.47916666666666669</v>
      </c>
      <c r="F1268" t="b">
        <v>0</v>
      </c>
      <c r="G1268" s="4" t="s">
        <v>145</v>
      </c>
      <c r="H1268" t="s">
        <v>148</v>
      </c>
      <c r="I1268" t="b">
        <v>0</v>
      </c>
    </row>
    <row r="1269" spans="1:9" ht="15" hidden="1" customHeight="1" x14ac:dyDescent="0.2">
      <c r="A1269" t="s">
        <v>144</v>
      </c>
      <c r="B1269" s="5">
        <v>45226</v>
      </c>
      <c r="C1269" s="3">
        <v>0.47916666666666669</v>
      </c>
      <c r="D1269" s="5">
        <v>45226</v>
      </c>
      <c r="E1269" s="3">
        <v>0.52083333333333337</v>
      </c>
      <c r="F1269" t="b">
        <v>0</v>
      </c>
      <c r="G1269" s="4" t="s">
        <v>145</v>
      </c>
      <c r="H1269" t="s">
        <v>148</v>
      </c>
      <c r="I1269" t="b">
        <v>0</v>
      </c>
    </row>
    <row r="1270" spans="1:9" ht="15" hidden="1" customHeight="1" x14ac:dyDescent="0.2">
      <c r="A1270" t="s">
        <v>144</v>
      </c>
      <c r="B1270" s="5">
        <v>45229</v>
      </c>
      <c r="C1270" s="3">
        <v>0.39583333333333331</v>
      </c>
      <c r="D1270" s="5">
        <v>45229</v>
      </c>
      <c r="E1270" s="3">
        <v>0.4375</v>
      </c>
      <c r="F1270" t="b">
        <v>0</v>
      </c>
      <c r="G1270" s="4" t="s">
        <v>145</v>
      </c>
      <c r="H1270" t="s">
        <v>148</v>
      </c>
      <c r="I1270" t="b">
        <v>0</v>
      </c>
    </row>
    <row r="1271" spans="1:9" ht="15" hidden="1" customHeight="1" x14ac:dyDescent="0.2">
      <c r="A1271" t="s">
        <v>144</v>
      </c>
      <c r="B1271" s="5">
        <v>45231</v>
      </c>
      <c r="C1271" s="3">
        <v>0.4375</v>
      </c>
      <c r="D1271" s="5">
        <v>45231</v>
      </c>
      <c r="E1271" s="3">
        <v>0.47916666666666669</v>
      </c>
      <c r="F1271" t="b">
        <v>0</v>
      </c>
      <c r="G1271" s="4" t="s">
        <v>145</v>
      </c>
      <c r="H1271" t="s">
        <v>148</v>
      </c>
      <c r="I1271" t="b">
        <v>0</v>
      </c>
    </row>
    <row r="1272" spans="1:9" ht="15" hidden="1" customHeight="1" x14ac:dyDescent="0.2">
      <c r="A1272" t="s">
        <v>144</v>
      </c>
      <c r="B1272" s="5">
        <v>45233</v>
      </c>
      <c r="C1272" s="3">
        <v>0.47916666666666669</v>
      </c>
      <c r="D1272" s="5">
        <v>45233</v>
      </c>
      <c r="E1272" s="3">
        <v>0.52083333333333337</v>
      </c>
      <c r="F1272" t="b">
        <v>0</v>
      </c>
      <c r="G1272" s="4" t="s">
        <v>145</v>
      </c>
      <c r="H1272" t="s">
        <v>148</v>
      </c>
      <c r="I1272" t="b">
        <v>0</v>
      </c>
    </row>
    <row r="1273" spans="1:9" ht="15" hidden="1" customHeight="1" x14ac:dyDescent="0.2">
      <c r="A1273" t="s">
        <v>144</v>
      </c>
      <c r="B1273" s="5">
        <v>45236</v>
      </c>
      <c r="C1273" s="3">
        <v>0.39583333333333331</v>
      </c>
      <c r="D1273" s="5">
        <v>45236</v>
      </c>
      <c r="E1273" s="3">
        <v>0.4375</v>
      </c>
      <c r="F1273" t="b">
        <v>0</v>
      </c>
      <c r="G1273" s="4" t="s">
        <v>145</v>
      </c>
      <c r="H1273" t="s">
        <v>148</v>
      </c>
      <c r="I1273" t="b">
        <v>0</v>
      </c>
    </row>
    <row r="1274" spans="1:9" ht="15" hidden="1" customHeight="1" x14ac:dyDescent="0.2">
      <c r="A1274" t="s">
        <v>144</v>
      </c>
      <c r="B1274" s="5">
        <v>45238</v>
      </c>
      <c r="C1274" s="3">
        <v>0.4375</v>
      </c>
      <c r="D1274" s="5">
        <v>45238</v>
      </c>
      <c r="E1274" s="3">
        <v>0.47916666666666669</v>
      </c>
      <c r="F1274" t="b">
        <v>0</v>
      </c>
      <c r="G1274" s="4" t="s">
        <v>145</v>
      </c>
      <c r="H1274" t="s">
        <v>148</v>
      </c>
      <c r="I1274" t="b">
        <v>0</v>
      </c>
    </row>
    <row r="1275" spans="1:9" ht="15" hidden="1" customHeight="1" x14ac:dyDescent="0.2">
      <c r="A1275" t="s">
        <v>144</v>
      </c>
      <c r="B1275" s="5">
        <v>45240</v>
      </c>
      <c r="C1275" s="3">
        <v>0.47916666666666669</v>
      </c>
      <c r="D1275" s="5">
        <v>45240</v>
      </c>
      <c r="E1275" s="3">
        <v>0.52083333333333337</v>
      </c>
      <c r="F1275" t="b">
        <v>0</v>
      </c>
      <c r="G1275" s="4" t="s">
        <v>145</v>
      </c>
      <c r="H1275" t="s">
        <v>148</v>
      </c>
      <c r="I1275" t="b">
        <v>0</v>
      </c>
    </row>
    <row r="1276" spans="1:9" ht="15" hidden="1" customHeight="1" x14ac:dyDescent="0.2">
      <c r="A1276" t="s">
        <v>198</v>
      </c>
      <c r="B1276" s="5">
        <v>45194</v>
      </c>
      <c r="C1276" s="3">
        <v>0.58333333333333337</v>
      </c>
      <c r="D1276" s="5">
        <v>45194</v>
      </c>
      <c r="E1276" s="3">
        <v>0.70833333333333337</v>
      </c>
      <c r="F1276" t="b">
        <v>0</v>
      </c>
      <c r="G1276" s="4" t="s">
        <v>199</v>
      </c>
      <c r="I1276" t="b">
        <v>0</v>
      </c>
    </row>
    <row r="1277" spans="1:9" ht="15" hidden="1" customHeight="1" x14ac:dyDescent="0.2">
      <c r="A1277" t="s">
        <v>202</v>
      </c>
      <c r="B1277" s="5">
        <v>45196</v>
      </c>
      <c r="C1277" s="3">
        <v>0.39583333333333331</v>
      </c>
      <c r="D1277" s="5">
        <v>45196</v>
      </c>
      <c r="E1277" s="3">
        <v>0.4375</v>
      </c>
      <c r="F1277" t="b">
        <v>0</v>
      </c>
      <c r="G1277" s="4" t="s">
        <v>203</v>
      </c>
      <c r="H1277" t="s">
        <v>243</v>
      </c>
      <c r="I1277" t="b">
        <v>0</v>
      </c>
    </row>
    <row r="1278" spans="1:9" ht="15" hidden="1" customHeight="1" x14ac:dyDescent="0.2">
      <c r="A1278" t="s">
        <v>202</v>
      </c>
      <c r="B1278" s="5">
        <v>45198</v>
      </c>
      <c r="C1278" s="3">
        <v>0.4375</v>
      </c>
      <c r="D1278" s="5">
        <v>45198</v>
      </c>
      <c r="E1278" s="3">
        <v>0.47916666666666669</v>
      </c>
      <c r="F1278" t="b">
        <v>0</v>
      </c>
      <c r="G1278" s="4" t="s">
        <v>203</v>
      </c>
      <c r="H1278" t="s">
        <v>243</v>
      </c>
      <c r="I1278" t="b">
        <v>0</v>
      </c>
    </row>
    <row r="1279" spans="1:9" ht="15" hidden="1" customHeight="1" x14ac:dyDescent="0.2">
      <c r="A1279" t="s">
        <v>202</v>
      </c>
      <c r="B1279" s="5">
        <v>45201</v>
      </c>
      <c r="C1279" s="3">
        <v>0.35416666666666669</v>
      </c>
      <c r="D1279" s="5">
        <v>45201</v>
      </c>
      <c r="E1279" s="3">
        <v>0.39583333333333337</v>
      </c>
      <c r="F1279" t="b">
        <v>0</v>
      </c>
      <c r="G1279" s="4" t="s">
        <v>203</v>
      </c>
      <c r="H1279" t="s">
        <v>243</v>
      </c>
      <c r="I1279" t="b">
        <v>0</v>
      </c>
    </row>
    <row r="1280" spans="1:9" ht="15" hidden="1" customHeight="1" x14ac:dyDescent="0.2">
      <c r="A1280" t="s">
        <v>202</v>
      </c>
      <c r="B1280" s="5">
        <v>45203</v>
      </c>
      <c r="C1280" s="3">
        <v>0.39583333333333331</v>
      </c>
      <c r="D1280" s="5">
        <v>45203</v>
      </c>
      <c r="E1280" s="3">
        <v>0.4375</v>
      </c>
      <c r="F1280" t="b">
        <v>0</v>
      </c>
      <c r="G1280" s="4" t="s">
        <v>203</v>
      </c>
      <c r="H1280" t="s">
        <v>243</v>
      </c>
      <c r="I1280" t="b">
        <v>0</v>
      </c>
    </row>
    <row r="1281" spans="1:9" ht="15" hidden="1" customHeight="1" x14ac:dyDescent="0.2">
      <c r="A1281" t="s">
        <v>202</v>
      </c>
      <c r="B1281" s="5">
        <v>45205</v>
      </c>
      <c r="C1281" s="3">
        <v>0.4375</v>
      </c>
      <c r="D1281" s="5">
        <v>45205</v>
      </c>
      <c r="E1281" s="3">
        <v>0.47916666666666669</v>
      </c>
      <c r="F1281" t="b">
        <v>0</v>
      </c>
      <c r="G1281" s="4" t="s">
        <v>203</v>
      </c>
      <c r="H1281" t="s">
        <v>243</v>
      </c>
      <c r="I1281" t="b">
        <v>0</v>
      </c>
    </row>
    <row r="1282" spans="1:9" ht="15" hidden="1" customHeight="1" x14ac:dyDescent="0.2">
      <c r="A1282" t="s">
        <v>202</v>
      </c>
      <c r="B1282" s="5">
        <v>45208</v>
      </c>
      <c r="C1282" s="3">
        <v>0.35416666666666669</v>
      </c>
      <c r="D1282" s="5">
        <v>45208</v>
      </c>
      <c r="E1282" s="3">
        <v>0.39583333333333337</v>
      </c>
      <c r="F1282" t="b">
        <v>0</v>
      </c>
      <c r="G1282" s="4" t="s">
        <v>203</v>
      </c>
      <c r="H1282" t="s">
        <v>243</v>
      </c>
      <c r="I1282" t="b">
        <v>0</v>
      </c>
    </row>
    <row r="1283" spans="1:9" ht="15" hidden="1" customHeight="1" x14ac:dyDescent="0.2">
      <c r="A1283" t="s">
        <v>202</v>
      </c>
      <c r="B1283" s="5">
        <v>45210</v>
      </c>
      <c r="C1283" s="3">
        <v>0.39583333333333331</v>
      </c>
      <c r="D1283" s="5">
        <v>45210</v>
      </c>
      <c r="E1283" s="3">
        <v>0.4375</v>
      </c>
      <c r="F1283" t="b">
        <v>0</v>
      </c>
      <c r="G1283" s="4" t="s">
        <v>203</v>
      </c>
      <c r="H1283" t="s">
        <v>243</v>
      </c>
      <c r="I1283" t="b">
        <v>0</v>
      </c>
    </row>
    <row r="1284" spans="1:9" ht="15" hidden="1" customHeight="1" x14ac:dyDescent="0.2">
      <c r="A1284" t="s">
        <v>202</v>
      </c>
      <c r="B1284" s="5">
        <v>45212</v>
      </c>
      <c r="C1284" s="3">
        <v>0.4375</v>
      </c>
      <c r="D1284" s="5">
        <v>45212</v>
      </c>
      <c r="E1284" s="3">
        <v>0.47916666666666669</v>
      </c>
      <c r="F1284" t="b">
        <v>0</v>
      </c>
      <c r="G1284" s="4" t="s">
        <v>203</v>
      </c>
      <c r="H1284" t="s">
        <v>243</v>
      </c>
      <c r="I1284" t="b">
        <v>0</v>
      </c>
    </row>
    <row r="1285" spans="1:9" ht="15" hidden="1" customHeight="1" x14ac:dyDescent="0.2">
      <c r="A1285" t="s">
        <v>202</v>
      </c>
      <c r="B1285" s="5">
        <v>45215</v>
      </c>
      <c r="C1285" s="3">
        <v>0.35416666666666669</v>
      </c>
      <c r="D1285" s="5">
        <v>45215</v>
      </c>
      <c r="E1285" s="3">
        <v>0.39583333333333337</v>
      </c>
      <c r="F1285" t="b">
        <v>0</v>
      </c>
      <c r="G1285" s="4" t="s">
        <v>203</v>
      </c>
      <c r="H1285" t="s">
        <v>243</v>
      </c>
      <c r="I1285" t="b">
        <v>0</v>
      </c>
    </row>
    <row r="1286" spans="1:9" ht="15" hidden="1" customHeight="1" x14ac:dyDescent="0.2">
      <c r="A1286" t="s">
        <v>202</v>
      </c>
      <c r="B1286" s="5">
        <v>45217</v>
      </c>
      <c r="C1286" s="3">
        <v>0.39583333333333331</v>
      </c>
      <c r="D1286" s="5">
        <v>45217</v>
      </c>
      <c r="E1286" s="3">
        <v>0.4375</v>
      </c>
      <c r="F1286" t="b">
        <v>0</v>
      </c>
      <c r="G1286" s="4" t="s">
        <v>203</v>
      </c>
      <c r="H1286" t="s">
        <v>243</v>
      </c>
      <c r="I1286" t="b">
        <v>0</v>
      </c>
    </row>
    <row r="1287" spans="1:9" ht="15" hidden="1" customHeight="1" x14ac:dyDescent="0.2">
      <c r="A1287" t="s">
        <v>202</v>
      </c>
      <c r="B1287" s="5">
        <v>45219</v>
      </c>
      <c r="C1287" s="3">
        <v>0.4375</v>
      </c>
      <c r="D1287" s="5">
        <v>45219</v>
      </c>
      <c r="E1287" s="3">
        <v>0.47916666666666669</v>
      </c>
      <c r="F1287" t="b">
        <v>0</v>
      </c>
      <c r="G1287" s="4" t="s">
        <v>203</v>
      </c>
      <c r="H1287" t="s">
        <v>243</v>
      </c>
      <c r="I1287" t="b">
        <v>0</v>
      </c>
    </row>
    <row r="1288" spans="1:9" ht="15" hidden="1" customHeight="1" x14ac:dyDescent="0.2">
      <c r="A1288" t="s">
        <v>202</v>
      </c>
      <c r="B1288" s="5">
        <v>45222</v>
      </c>
      <c r="C1288" s="3">
        <v>0.35416666666666669</v>
      </c>
      <c r="D1288" s="5">
        <v>45222</v>
      </c>
      <c r="E1288" s="3">
        <v>0.39583333333333337</v>
      </c>
      <c r="F1288" t="b">
        <v>0</v>
      </c>
      <c r="G1288" s="4" t="s">
        <v>203</v>
      </c>
      <c r="H1288" t="s">
        <v>243</v>
      </c>
      <c r="I1288" t="b">
        <v>0</v>
      </c>
    </row>
    <row r="1289" spans="1:9" ht="15" hidden="1" customHeight="1" x14ac:dyDescent="0.2">
      <c r="A1289" t="s">
        <v>202</v>
      </c>
      <c r="B1289" s="5">
        <v>45224</v>
      </c>
      <c r="C1289" s="3">
        <v>0.39583333333333331</v>
      </c>
      <c r="D1289" s="5">
        <v>45224</v>
      </c>
      <c r="E1289" s="3">
        <v>0.4375</v>
      </c>
      <c r="F1289" t="b">
        <v>0</v>
      </c>
      <c r="G1289" s="4" t="s">
        <v>203</v>
      </c>
      <c r="H1289" t="s">
        <v>243</v>
      </c>
      <c r="I1289" t="b">
        <v>0</v>
      </c>
    </row>
    <row r="1290" spans="1:9" ht="15" hidden="1" customHeight="1" x14ac:dyDescent="0.2">
      <c r="A1290" t="s">
        <v>202</v>
      </c>
      <c r="B1290" s="5">
        <v>45226</v>
      </c>
      <c r="C1290" s="3">
        <v>0.4375</v>
      </c>
      <c r="D1290" s="5">
        <v>45226</v>
      </c>
      <c r="E1290" s="3">
        <v>0.47916666666666669</v>
      </c>
      <c r="F1290" t="b">
        <v>0</v>
      </c>
      <c r="G1290" s="4" t="s">
        <v>203</v>
      </c>
      <c r="H1290" t="s">
        <v>243</v>
      </c>
      <c r="I1290" t="b">
        <v>0</v>
      </c>
    </row>
    <row r="1291" spans="1:9" ht="15" hidden="1" customHeight="1" x14ac:dyDescent="0.2">
      <c r="A1291" t="s">
        <v>202</v>
      </c>
      <c r="B1291" s="5">
        <v>45229</v>
      </c>
      <c r="C1291" s="3">
        <v>0.35416666666666669</v>
      </c>
      <c r="D1291" s="5">
        <v>45229</v>
      </c>
      <c r="E1291" s="3">
        <v>0.39583333333333337</v>
      </c>
      <c r="F1291" t="b">
        <v>0</v>
      </c>
      <c r="G1291" s="4" t="s">
        <v>203</v>
      </c>
      <c r="H1291" t="s">
        <v>243</v>
      </c>
      <c r="I1291" t="b">
        <v>0</v>
      </c>
    </row>
    <row r="1292" spans="1:9" ht="15" hidden="1" customHeight="1" x14ac:dyDescent="0.2">
      <c r="A1292" t="s">
        <v>202</v>
      </c>
      <c r="B1292" s="5">
        <v>45231</v>
      </c>
      <c r="C1292" s="3">
        <v>0.39583333333333331</v>
      </c>
      <c r="D1292" s="5">
        <v>45231</v>
      </c>
      <c r="E1292" s="3">
        <v>0.4375</v>
      </c>
      <c r="F1292" t="b">
        <v>0</v>
      </c>
      <c r="G1292" s="4" t="s">
        <v>203</v>
      </c>
      <c r="H1292" t="s">
        <v>243</v>
      </c>
      <c r="I1292" t="b">
        <v>0</v>
      </c>
    </row>
    <row r="1293" spans="1:9" ht="15" hidden="1" customHeight="1" x14ac:dyDescent="0.2">
      <c r="A1293" t="s">
        <v>202</v>
      </c>
      <c r="B1293" s="5">
        <v>45233</v>
      </c>
      <c r="C1293" s="3">
        <v>0.4375</v>
      </c>
      <c r="D1293" s="5">
        <v>45233</v>
      </c>
      <c r="E1293" s="3">
        <v>0.47916666666666669</v>
      </c>
      <c r="F1293" t="b">
        <v>0</v>
      </c>
      <c r="G1293" s="4" t="s">
        <v>203</v>
      </c>
      <c r="H1293" t="s">
        <v>243</v>
      </c>
      <c r="I1293" t="b">
        <v>0</v>
      </c>
    </row>
    <row r="1294" spans="1:9" ht="15" hidden="1" customHeight="1" x14ac:dyDescent="0.2">
      <c r="A1294" t="s">
        <v>202</v>
      </c>
      <c r="B1294" s="5">
        <v>45236</v>
      </c>
      <c r="C1294" s="3">
        <v>0.35416666666666669</v>
      </c>
      <c r="D1294" s="5">
        <v>45236</v>
      </c>
      <c r="E1294" s="3">
        <v>0.39583333333333337</v>
      </c>
      <c r="F1294" t="b">
        <v>0</v>
      </c>
      <c r="G1294" s="4" t="s">
        <v>203</v>
      </c>
      <c r="H1294" t="s">
        <v>243</v>
      </c>
      <c r="I1294" t="b">
        <v>0</v>
      </c>
    </row>
    <row r="1295" spans="1:9" ht="15" hidden="1" customHeight="1" x14ac:dyDescent="0.2">
      <c r="A1295" t="s">
        <v>202</v>
      </c>
      <c r="B1295" s="5">
        <v>45238</v>
      </c>
      <c r="C1295" s="3">
        <v>0.39583333333333331</v>
      </c>
      <c r="D1295" s="5">
        <v>45238</v>
      </c>
      <c r="E1295" s="3">
        <v>0.4375</v>
      </c>
      <c r="F1295" t="b">
        <v>0</v>
      </c>
      <c r="G1295" s="4" t="s">
        <v>203</v>
      </c>
      <c r="H1295" t="s">
        <v>243</v>
      </c>
      <c r="I1295" t="b">
        <v>0</v>
      </c>
    </row>
    <row r="1296" spans="1:9" ht="15" hidden="1" customHeight="1" x14ac:dyDescent="0.2">
      <c r="A1296" t="s">
        <v>202</v>
      </c>
      <c r="B1296" s="5">
        <v>45240</v>
      </c>
      <c r="C1296" s="3">
        <v>0.4375</v>
      </c>
      <c r="D1296" s="5">
        <v>45240</v>
      </c>
      <c r="E1296" s="3">
        <v>0.47916666666666669</v>
      </c>
      <c r="F1296" t="b">
        <v>0</v>
      </c>
      <c r="G1296" s="4" t="s">
        <v>203</v>
      </c>
      <c r="H1296" t="s">
        <v>243</v>
      </c>
      <c r="I1296" t="b">
        <v>0</v>
      </c>
    </row>
    <row r="1297" spans="1:9" ht="15" hidden="1" customHeight="1" x14ac:dyDescent="0.2">
      <c r="A1297" s="6" t="s">
        <v>300</v>
      </c>
      <c r="B1297" s="5">
        <v>45194</v>
      </c>
      <c r="C1297" s="3">
        <v>0.58333333333333337</v>
      </c>
      <c r="D1297" s="5">
        <v>45194</v>
      </c>
      <c r="E1297" s="3">
        <v>0.70833333333333337</v>
      </c>
      <c r="F1297" t="b">
        <v>0</v>
      </c>
      <c r="G1297" s="7" t="s">
        <v>301</v>
      </c>
      <c r="I1297" t="b">
        <v>0</v>
      </c>
    </row>
    <row r="1298" spans="1:9" ht="15" hidden="1" customHeight="1" x14ac:dyDescent="0.2">
      <c r="A1298" t="s">
        <v>204</v>
      </c>
      <c r="B1298" s="5">
        <v>45196</v>
      </c>
      <c r="C1298" s="3">
        <v>0.47916666666666669</v>
      </c>
      <c r="D1298" s="5">
        <v>45196</v>
      </c>
      <c r="E1298" s="3">
        <v>0.52083333333333337</v>
      </c>
      <c r="F1298" t="b">
        <v>0</v>
      </c>
      <c r="G1298" s="4" t="s">
        <v>205</v>
      </c>
      <c r="H1298" t="s">
        <v>243</v>
      </c>
      <c r="I1298" t="b">
        <v>0</v>
      </c>
    </row>
    <row r="1299" spans="1:9" ht="15" hidden="1" customHeight="1" x14ac:dyDescent="0.2">
      <c r="A1299" t="s">
        <v>204</v>
      </c>
      <c r="B1299" s="5">
        <v>45198</v>
      </c>
      <c r="C1299" s="3">
        <v>0.35416666666666669</v>
      </c>
      <c r="D1299" s="5">
        <v>45198</v>
      </c>
      <c r="E1299" s="3">
        <v>0.39583333333333337</v>
      </c>
      <c r="F1299" t="b">
        <v>0</v>
      </c>
      <c r="G1299" s="4" t="s">
        <v>205</v>
      </c>
      <c r="H1299" t="s">
        <v>243</v>
      </c>
      <c r="I1299" t="b">
        <v>0</v>
      </c>
    </row>
    <row r="1300" spans="1:9" ht="15" hidden="1" customHeight="1" x14ac:dyDescent="0.2">
      <c r="A1300" t="s">
        <v>204</v>
      </c>
      <c r="B1300" s="5">
        <v>45201</v>
      </c>
      <c r="C1300" s="3">
        <v>0.4375</v>
      </c>
      <c r="D1300" s="5">
        <v>45201</v>
      </c>
      <c r="E1300" s="3">
        <v>0.47916666666666669</v>
      </c>
      <c r="F1300" t="b">
        <v>0</v>
      </c>
      <c r="G1300" s="4" t="s">
        <v>205</v>
      </c>
      <c r="H1300" t="s">
        <v>243</v>
      </c>
      <c r="I1300" t="b">
        <v>0</v>
      </c>
    </row>
    <row r="1301" spans="1:9" ht="15" hidden="1" customHeight="1" x14ac:dyDescent="0.2">
      <c r="A1301" t="s">
        <v>204</v>
      </c>
      <c r="B1301" s="5">
        <v>45203</v>
      </c>
      <c r="C1301" s="3">
        <v>0.47916666666666669</v>
      </c>
      <c r="D1301" s="5">
        <v>45203</v>
      </c>
      <c r="E1301" s="3">
        <v>0.52083333333333337</v>
      </c>
      <c r="F1301" t="b">
        <v>0</v>
      </c>
      <c r="G1301" s="4" t="s">
        <v>205</v>
      </c>
      <c r="H1301" t="s">
        <v>243</v>
      </c>
      <c r="I1301" t="b">
        <v>0</v>
      </c>
    </row>
    <row r="1302" spans="1:9" ht="15" hidden="1" customHeight="1" x14ac:dyDescent="0.2">
      <c r="A1302" t="s">
        <v>204</v>
      </c>
      <c r="B1302" s="5">
        <v>45205</v>
      </c>
      <c r="C1302" s="3">
        <v>0.35416666666666669</v>
      </c>
      <c r="D1302" s="5">
        <v>45205</v>
      </c>
      <c r="E1302" s="3">
        <v>0.39583333333333337</v>
      </c>
      <c r="F1302" t="b">
        <v>0</v>
      </c>
      <c r="G1302" s="4" t="s">
        <v>205</v>
      </c>
      <c r="H1302" t="s">
        <v>243</v>
      </c>
      <c r="I1302" t="b">
        <v>0</v>
      </c>
    </row>
    <row r="1303" spans="1:9" ht="15" hidden="1" customHeight="1" x14ac:dyDescent="0.2">
      <c r="A1303" t="s">
        <v>204</v>
      </c>
      <c r="B1303" s="5">
        <v>45208</v>
      </c>
      <c r="C1303" s="3">
        <v>0.4375</v>
      </c>
      <c r="D1303" s="5">
        <v>45208</v>
      </c>
      <c r="E1303" s="3">
        <v>0.47916666666666669</v>
      </c>
      <c r="F1303" t="b">
        <v>0</v>
      </c>
      <c r="G1303" s="4" t="s">
        <v>205</v>
      </c>
      <c r="H1303" t="s">
        <v>243</v>
      </c>
      <c r="I1303" t="b">
        <v>0</v>
      </c>
    </row>
    <row r="1304" spans="1:9" ht="15" hidden="1" customHeight="1" x14ac:dyDescent="0.2">
      <c r="A1304" t="s">
        <v>204</v>
      </c>
      <c r="B1304" s="5">
        <v>45210</v>
      </c>
      <c r="C1304" s="3">
        <v>0.47916666666666669</v>
      </c>
      <c r="D1304" s="5">
        <v>45210</v>
      </c>
      <c r="E1304" s="3">
        <v>0.52083333333333337</v>
      </c>
      <c r="F1304" t="b">
        <v>0</v>
      </c>
      <c r="G1304" s="4" t="s">
        <v>205</v>
      </c>
      <c r="H1304" t="s">
        <v>243</v>
      </c>
      <c r="I1304" t="b">
        <v>0</v>
      </c>
    </row>
    <row r="1305" spans="1:9" ht="15" hidden="1" customHeight="1" x14ac:dyDescent="0.2">
      <c r="A1305" t="s">
        <v>204</v>
      </c>
      <c r="B1305" s="5">
        <v>45212</v>
      </c>
      <c r="C1305" s="3">
        <v>0.35416666666666669</v>
      </c>
      <c r="D1305" s="5">
        <v>45212</v>
      </c>
      <c r="E1305" s="3">
        <v>0.39583333333333337</v>
      </c>
      <c r="F1305" t="b">
        <v>0</v>
      </c>
      <c r="G1305" s="4" t="s">
        <v>205</v>
      </c>
      <c r="H1305" t="s">
        <v>243</v>
      </c>
      <c r="I1305" t="b">
        <v>0</v>
      </c>
    </row>
    <row r="1306" spans="1:9" ht="15" hidden="1" customHeight="1" x14ac:dyDescent="0.2">
      <c r="A1306" t="s">
        <v>204</v>
      </c>
      <c r="B1306" s="5">
        <v>45215</v>
      </c>
      <c r="C1306" s="3">
        <v>0.4375</v>
      </c>
      <c r="D1306" s="5">
        <v>45215</v>
      </c>
      <c r="E1306" s="3">
        <v>0.47916666666666669</v>
      </c>
      <c r="F1306" t="b">
        <v>0</v>
      </c>
      <c r="G1306" s="4" t="s">
        <v>205</v>
      </c>
      <c r="H1306" t="s">
        <v>243</v>
      </c>
      <c r="I1306" t="b">
        <v>0</v>
      </c>
    </row>
    <row r="1307" spans="1:9" ht="15" hidden="1" customHeight="1" x14ac:dyDescent="0.2">
      <c r="A1307" t="s">
        <v>204</v>
      </c>
      <c r="B1307" s="5">
        <v>45217</v>
      </c>
      <c r="C1307" s="3">
        <v>0.47916666666666669</v>
      </c>
      <c r="D1307" s="5">
        <v>45217</v>
      </c>
      <c r="E1307" s="3">
        <v>0.52083333333333337</v>
      </c>
      <c r="F1307" t="b">
        <v>0</v>
      </c>
      <c r="G1307" s="4" t="s">
        <v>205</v>
      </c>
      <c r="H1307" t="s">
        <v>243</v>
      </c>
      <c r="I1307" t="b">
        <v>0</v>
      </c>
    </row>
    <row r="1308" spans="1:9" ht="15" hidden="1" customHeight="1" x14ac:dyDescent="0.2">
      <c r="A1308" t="s">
        <v>204</v>
      </c>
      <c r="B1308" s="5">
        <v>45219</v>
      </c>
      <c r="C1308" s="3">
        <v>0.35416666666666669</v>
      </c>
      <c r="D1308" s="5">
        <v>45219</v>
      </c>
      <c r="E1308" s="3">
        <v>0.39583333333333337</v>
      </c>
      <c r="F1308" t="b">
        <v>0</v>
      </c>
      <c r="G1308" s="4" t="s">
        <v>205</v>
      </c>
      <c r="H1308" t="s">
        <v>243</v>
      </c>
      <c r="I1308" t="b">
        <v>0</v>
      </c>
    </row>
    <row r="1309" spans="1:9" ht="15" hidden="1" customHeight="1" x14ac:dyDescent="0.2">
      <c r="A1309" t="s">
        <v>204</v>
      </c>
      <c r="B1309" s="5">
        <v>45222</v>
      </c>
      <c r="C1309" s="3">
        <v>0.4375</v>
      </c>
      <c r="D1309" s="5">
        <v>45222</v>
      </c>
      <c r="E1309" s="3">
        <v>0.47916666666666669</v>
      </c>
      <c r="F1309" t="b">
        <v>0</v>
      </c>
      <c r="G1309" s="4" t="s">
        <v>205</v>
      </c>
      <c r="H1309" t="s">
        <v>243</v>
      </c>
      <c r="I1309" t="b">
        <v>0</v>
      </c>
    </row>
    <row r="1310" spans="1:9" ht="15" hidden="1" customHeight="1" x14ac:dyDescent="0.2">
      <c r="A1310" t="s">
        <v>204</v>
      </c>
      <c r="B1310" s="5">
        <v>45224</v>
      </c>
      <c r="C1310" s="3">
        <v>0.47916666666666669</v>
      </c>
      <c r="D1310" s="5">
        <v>45224</v>
      </c>
      <c r="E1310" s="3">
        <v>0.52083333333333337</v>
      </c>
      <c r="F1310" t="b">
        <v>0</v>
      </c>
      <c r="G1310" s="4" t="s">
        <v>205</v>
      </c>
      <c r="H1310" t="s">
        <v>243</v>
      </c>
      <c r="I1310" t="b">
        <v>0</v>
      </c>
    </row>
    <row r="1311" spans="1:9" ht="15" hidden="1" customHeight="1" x14ac:dyDescent="0.2">
      <c r="A1311" t="s">
        <v>204</v>
      </c>
      <c r="B1311" s="5">
        <v>45226</v>
      </c>
      <c r="C1311" s="3">
        <v>0.35416666666666669</v>
      </c>
      <c r="D1311" s="5">
        <v>45226</v>
      </c>
      <c r="E1311" s="3">
        <v>0.39583333333333337</v>
      </c>
      <c r="F1311" t="b">
        <v>0</v>
      </c>
      <c r="G1311" s="4" t="s">
        <v>205</v>
      </c>
      <c r="H1311" t="s">
        <v>243</v>
      </c>
      <c r="I1311" t="b">
        <v>0</v>
      </c>
    </row>
    <row r="1312" spans="1:9" ht="15" hidden="1" customHeight="1" x14ac:dyDescent="0.2">
      <c r="A1312" t="s">
        <v>204</v>
      </c>
      <c r="B1312" s="5">
        <v>45229</v>
      </c>
      <c r="C1312" s="3">
        <v>0.4375</v>
      </c>
      <c r="D1312" s="5">
        <v>45229</v>
      </c>
      <c r="E1312" s="3">
        <v>0.47916666666666669</v>
      </c>
      <c r="F1312" t="b">
        <v>0</v>
      </c>
      <c r="G1312" s="4" t="s">
        <v>205</v>
      </c>
      <c r="H1312" t="s">
        <v>243</v>
      </c>
      <c r="I1312" t="b">
        <v>0</v>
      </c>
    </row>
    <row r="1313" spans="1:9" ht="15" hidden="1" customHeight="1" x14ac:dyDescent="0.2">
      <c r="A1313" t="s">
        <v>204</v>
      </c>
      <c r="B1313" s="5">
        <v>45231</v>
      </c>
      <c r="C1313" s="3">
        <v>0.47916666666666669</v>
      </c>
      <c r="D1313" s="5">
        <v>45231</v>
      </c>
      <c r="E1313" s="3">
        <v>0.52083333333333337</v>
      </c>
      <c r="F1313" t="b">
        <v>0</v>
      </c>
      <c r="G1313" s="4" t="s">
        <v>205</v>
      </c>
      <c r="H1313" t="s">
        <v>243</v>
      </c>
      <c r="I1313" t="b">
        <v>0</v>
      </c>
    </row>
    <row r="1314" spans="1:9" ht="15" hidden="1" customHeight="1" x14ac:dyDescent="0.2">
      <c r="A1314" t="s">
        <v>204</v>
      </c>
      <c r="B1314" s="5">
        <v>45233</v>
      </c>
      <c r="C1314" s="3">
        <v>0.35416666666666669</v>
      </c>
      <c r="D1314" s="5">
        <v>45233</v>
      </c>
      <c r="E1314" s="3">
        <v>0.39583333333333337</v>
      </c>
      <c r="F1314" t="b">
        <v>0</v>
      </c>
      <c r="G1314" s="4" t="s">
        <v>205</v>
      </c>
      <c r="H1314" t="s">
        <v>243</v>
      </c>
      <c r="I1314" t="b">
        <v>0</v>
      </c>
    </row>
    <row r="1315" spans="1:9" ht="15" hidden="1" customHeight="1" x14ac:dyDescent="0.2">
      <c r="A1315" t="s">
        <v>204</v>
      </c>
      <c r="B1315" s="5">
        <v>45236</v>
      </c>
      <c r="C1315" s="3">
        <v>0.4375</v>
      </c>
      <c r="D1315" s="5">
        <v>45236</v>
      </c>
      <c r="E1315" s="3">
        <v>0.47916666666666669</v>
      </c>
      <c r="F1315" t="b">
        <v>0</v>
      </c>
      <c r="G1315" s="4" t="s">
        <v>205</v>
      </c>
      <c r="H1315" t="s">
        <v>243</v>
      </c>
      <c r="I1315" t="b">
        <v>0</v>
      </c>
    </row>
    <row r="1316" spans="1:9" ht="15" hidden="1" customHeight="1" x14ac:dyDescent="0.2">
      <c r="A1316" t="s">
        <v>204</v>
      </c>
      <c r="B1316" s="5">
        <v>45238</v>
      </c>
      <c r="C1316" s="3">
        <v>0.47916666666666669</v>
      </c>
      <c r="D1316" s="5">
        <v>45238</v>
      </c>
      <c r="E1316" s="3">
        <v>0.52083333333333337</v>
      </c>
      <c r="F1316" t="b">
        <v>0</v>
      </c>
      <c r="G1316" s="4" t="s">
        <v>205</v>
      </c>
      <c r="H1316" t="s">
        <v>243</v>
      </c>
      <c r="I1316" t="b">
        <v>0</v>
      </c>
    </row>
    <row r="1317" spans="1:9" ht="15" hidden="1" customHeight="1" x14ac:dyDescent="0.2">
      <c r="A1317" t="s">
        <v>204</v>
      </c>
      <c r="B1317" s="5">
        <v>45240</v>
      </c>
      <c r="C1317" s="3">
        <v>0.35416666666666669</v>
      </c>
      <c r="D1317" s="5">
        <v>45240</v>
      </c>
      <c r="E1317" s="3">
        <v>0.39583333333333337</v>
      </c>
      <c r="F1317" t="b">
        <v>0</v>
      </c>
      <c r="G1317" s="4" t="s">
        <v>205</v>
      </c>
      <c r="H1317" t="s">
        <v>243</v>
      </c>
      <c r="I1317" t="b">
        <v>0</v>
      </c>
    </row>
    <row r="1318" spans="1:9" ht="15" hidden="1" customHeight="1" x14ac:dyDescent="0.2">
      <c r="A1318" t="s">
        <v>212</v>
      </c>
      <c r="B1318" s="5">
        <v>45197</v>
      </c>
      <c r="C1318" s="3">
        <v>0.39583333333333331</v>
      </c>
      <c r="D1318" s="5">
        <v>45197</v>
      </c>
      <c r="E1318" s="3">
        <v>0.52083333333333337</v>
      </c>
      <c r="F1318" t="b">
        <v>0</v>
      </c>
      <c r="G1318" s="4" t="s">
        <v>213</v>
      </c>
      <c r="I1318" t="b">
        <v>0</v>
      </c>
    </row>
    <row r="1319" spans="1:9" ht="15" hidden="1" customHeight="1" x14ac:dyDescent="0.2">
      <c r="A1319" t="s">
        <v>212</v>
      </c>
      <c r="B1319" s="5">
        <v>45204</v>
      </c>
      <c r="C1319" s="3">
        <v>0.39583333333333331</v>
      </c>
      <c r="D1319" s="5">
        <v>45204</v>
      </c>
      <c r="E1319" s="3">
        <v>0.52083333333333337</v>
      </c>
      <c r="F1319" t="b">
        <v>0</v>
      </c>
      <c r="G1319" s="4" t="s">
        <v>213</v>
      </c>
      <c r="I1319" t="b">
        <v>0</v>
      </c>
    </row>
    <row r="1320" spans="1:9" ht="15" hidden="1" customHeight="1" x14ac:dyDescent="0.2">
      <c r="A1320" t="s">
        <v>212</v>
      </c>
      <c r="B1320" s="5">
        <v>45211</v>
      </c>
      <c r="C1320" s="3">
        <v>0.39583333333333331</v>
      </c>
      <c r="D1320" s="5">
        <v>45211</v>
      </c>
      <c r="E1320" s="3">
        <v>0.52083333333333337</v>
      </c>
      <c r="F1320" t="b">
        <v>0</v>
      </c>
      <c r="G1320" s="4" t="s">
        <v>213</v>
      </c>
      <c r="I1320" t="b">
        <v>0</v>
      </c>
    </row>
    <row r="1321" spans="1:9" ht="15" hidden="1" customHeight="1" x14ac:dyDescent="0.2">
      <c r="A1321" t="s">
        <v>212</v>
      </c>
      <c r="B1321" s="5">
        <v>45218</v>
      </c>
      <c r="C1321" s="3">
        <v>0.39583333333333331</v>
      </c>
      <c r="D1321" s="5">
        <v>45218</v>
      </c>
      <c r="E1321" s="3">
        <v>0.52083333333333337</v>
      </c>
      <c r="F1321" t="b">
        <v>0</v>
      </c>
      <c r="G1321" s="4" t="s">
        <v>213</v>
      </c>
      <c r="I1321" t="b">
        <v>0</v>
      </c>
    </row>
    <row r="1322" spans="1:9" ht="15" hidden="1" customHeight="1" x14ac:dyDescent="0.2">
      <c r="A1322" t="s">
        <v>212</v>
      </c>
      <c r="B1322" s="5">
        <v>45225</v>
      </c>
      <c r="C1322" s="3">
        <v>0.39583333333333331</v>
      </c>
      <c r="D1322" s="5">
        <v>45225</v>
      </c>
      <c r="E1322" s="3">
        <v>0.52083333333333337</v>
      </c>
      <c r="F1322" t="b">
        <v>0</v>
      </c>
      <c r="G1322" s="4" t="s">
        <v>213</v>
      </c>
      <c r="I1322" t="b">
        <v>0</v>
      </c>
    </row>
    <row r="1323" spans="1:9" ht="15" hidden="1" customHeight="1" x14ac:dyDescent="0.2">
      <c r="A1323" t="s">
        <v>212</v>
      </c>
      <c r="B1323" s="5">
        <v>45232</v>
      </c>
      <c r="C1323" s="3">
        <v>0.39583333333333331</v>
      </c>
      <c r="D1323" s="5">
        <v>45232</v>
      </c>
      <c r="E1323" s="3">
        <v>0.52083333333333337</v>
      </c>
      <c r="F1323" t="b">
        <v>0</v>
      </c>
      <c r="G1323" s="4" t="s">
        <v>213</v>
      </c>
      <c r="I1323" t="b">
        <v>0</v>
      </c>
    </row>
    <row r="1324" spans="1:9" ht="15" hidden="1" customHeight="1" x14ac:dyDescent="0.2">
      <c r="A1324" t="s">
        <v>212</v>
      </c>
      <c r="B1324" s="5">
        <v>45239</v>
      </c>
      <c r="C1324" s="3">
        <v>0.39583333333333331</v>
      </c>
      <c r="D1324" s="5">
        <v>45239</v>
      </c>
      <c r="E1324" s="3">
        <v>0.52083333333333337</v>
      </c>
      <c r="F1324" t="b">
        <v>0</v>
      </c>
      <c r="G1324" s="4" t="s">
        <v>213</v>
      </c>
      <c r="I1324" t="b">
        <v>0</v>
      </c>
    </row>
    <row r="1325" spans="1:9" ht="15" hidden="1" customHeight="1" x14ac:dyDescent="0.2">
      <c r="A1325" t="s">
        <v>210</v>
      </c>
      <c r="B1325" s="5">
        <v>45195</v>
      </c>
      <c r="C1325" s="3">
        <v>0.39583333333333331</v>
      </c>
      <c r="D1325" s="5">
        <v>45195</v>
      </c>
      <c r="E1325" s="3">
        <v>0.52083333333333337</v>
      </c>
      <c r="F1325" t="b">
        <v>0</v>
      </c>
      <c r="G1325" s="4" t="s">
        <v>211</v>
      </c>
      <c r="I1325" t="b">
        <v>0</v>
      </c>
    </row>
    <row r="1326" spans="1:9" ht="15" hidden="1" customHeight="1" x14ac:dyDescent="0.2">
      <c r="A1326" t="s">
        <v>210</v>
      </c>
      <c r="B1326" s="5">
        <v>45202</v>
      </c>
      <c r="C1326" s="3">
        <v>0.39583333333333331</v>
      </c>
      <c r="D1326" s="5">
        <v>45202</v>
      </c>
      <c r="E1326" s="3">
        <v>0.52083333333333337</v>
      </c>
      <c r="F1326" t="b">
        <v>0</v>
      </c>
      <c r="G1326" s="4" t="s">
        <v>211</v>
      </c>
      <c r="I1326" t="b">
        <v>0</v>
      </c>
    </row>
    <row r="1327" spans="1:9" ht="15" hidden="1" customHeight="1" x14ac:dyDescent="0.2">
      <c r="A1327" t="s">
        <v>210</v>
      </c>
      <c r="B1327" s="5">
        <v>45209</v>
      </c>
      <c r="C1327" s="3">
        <v>0.39583333333333331</v>
      </c>
      <c r="D1327" s="5">
        <v>45209</v>
      </c>
      <c r="E1327" s="3">
        <v>0.52083333333333337</v>
      </c>
      <c r="F1327" t="b">
        <v>0</v>
      </c>
      <c r="G1327" s="4" t="s">
        <v>211</v>
      </c>
      <c r="I1327" t="b">
        <v>0</v>
      </c>
    </row>
    <row r="1328" spans="1:9" ht="15" hidden="1" customHeight="1" x14ac:dyDescent="0.2">
      <c r="A1328" t="s">
        <v>210</v>
      </c>
      <c r="B1328" s="5">
        <v>45216</v>
      </c>
      <c r="C1328" s="3">
        <v>0.39583333333333331</v>
      </c>
      <c r="D1328" s="5">
        <v>45216</v>
      </c>
      <c r="E1328" s="3">
        <v>0.52083333333333337</v>
      </c>
      <c r="F1328" t="b">
        <v>0</v>
      </c>
      <c r="G1328" s="4" t="s">
        <v>211</v>
      </c>
      <c r="I1328" t="b">
        <v>0</v>
      </c>
    </row>
    <row r="1329" spans="1:9" ht="15" hidden="1" customHeight="1" x14ac:dyDescent="0.2">
      <c r="A1329" t="s">
        <v>210</v>
      </c>
      <c r="B1329" s="5">
        <v>45223</v>
      </c>
      <c r="C1329" s="3">
        <v>0.39583333333333331</v>
      </c>
      <c r="D1329" s="5">
        <v>45223</v>
      </c>
      <c r="E1329" s="3">
        <v>0.52083333333333337</v>
      </c>
      <c r="F1329" t="b">
        <v>0</v>
      </c>
      <c r="G1329" s="4" t="s">
        <v>211</v>
      </c>
      <c r="I1329" t="b">
        <v>0</v>
      </c>
    </row>
    <row r="1330" spans="1:9" ht="15" hidden="1" customHeight="1" x14ac:dyDescent="0.2">
      <c r="A1330" t="s">
        <v>210</v>
      </c>
      <c r="B1330" s="5">
        <v>45230</v>
      </c>
      <c r="C1330" s="3">
        <v>0.39583333333333331</v>
      </c>
      <c r="D1330" s="5">
        <v>45230</v>
      </c>
      <c r="E1330" s="3">
        <v>0.52083333333333337</v>
      </c>
      <c r="F1330" t="b">
        <v>0</v>
      </c>
      <c r="G1330" s="4" t="s">
        <v>211</v>
      </c>
      <c r="I1330" t="b">
        <v>0</v>
      </c>
    </row>
    <row r="1331" spans="1:9" ht="15" hidden="1" customHeight="1" x14ac:dyDescent="0.2">
      <c r="A1331" t="s">
        <v>210</v>
      </c>
      <c r="B1331" s="5">
        <v>45237</v>
      </c>
      <c r="C1331" s="3">
        <v>0.39583333333333331</v>
      </c>
      <c r="D1331" s="5">
        <v>45237</v>
      </c>
      <c r="E1331" s="3">
        <v>0.52083333333333337</v>
      </c>
      <c r="F1331" t="b">
        <v>0</v>
      </c>
      <c r="G1331" s="4" t="s">
        <v>211</v>
      </c>
      <c r="I1331" t="b">
        <v>0</v>
      </c>
    </row>
    <row r="1332" spans="1:9" ht="15" hidden="1" customHeight="1" x14ac:dyDescent="0.2">
      <c r="A1332" s="6" t="s">
        <v>294</v>
      </c>
      <c r="B1332" s="5">
        <v>45194</v>
      </c>
      <c r="C1332" s="3">
        <v>0.58333333333333337</v>
      </c>
      <c r="D1332" s="5">
        <v>45194</v>
      </c>
      <c r="E1332" s="3">
        <v>0.625</v>
      </c>
      <c r="F1332" t="b">
        <v>0</v>
      </c>
      <c r="G1332" s="7" t="s">
        <v>295</v>
      </c>
      <c r="H1332" t="s">
        <v>247</v>
      </c>
      <c r="I1332" t="b">
        <v>0</v>
      </c>
    </row>
    <row r="1333" spans="1:9" ht="15" hidden="1" customHeight="1" x14ac:dyDescent="0.2">
      <c r="A1333" t="s">
        <v>214</v>
      </c>
      <c r="B1333" s="5">
        <v>45201</v>
      </c>
      <c r="C1333" s="3">
        <v>0.35416666666666669</v>
      </c>
      <c r="D1333" s="5">
        <v>45201</v>
      </c>
      <c r="E1333" s="3">
        <v>0.47916666666666669</v>
      </c>
      <c r="F1333" t="b">
        <v>0</v>
      </c>
      <c r="G1333" s="4" t="s">
        <v>215</v>
      </c>
      <c r="I1333" t="b">
        <v>0</v>
      </c>
    </row>
    <row r="1334" spans="1:9" ht="15" hidden="1" customHeight="1" x14ac:dyDescent="0.2">
      <c r="A1334" t="s">
        <v>214</v>
      </c>
      <c r="B1334" s="5">
        <v>45208</v>
      </c>
      <c r="C1334" s="3">
        <v>0.35416666666666669</v>
      </c>
      <c r="D1334" s="5">
        <v>45208</v>
      </c>
      <c r="E1334" s="3">
        <v>0.47916666666666669</v>
      </c>
      <c r="F1334" t="b">
        <v>0</v>
      </c>
      <c r="G1334" s="4" t="s">
        <v>215</v>
      </c>
      <c r="I1334" t="b">
        <v>0</v>
      </c>
    </row>
    <row r="1335" spans="1:9" ht="15" hidden="1" customHeight="1" x14ac:dyDescent="0.2">
      <c r="A1335" t="s">
        <v>214</v>
      </c>
      <c r="B1335" s="5">
        <v>45215</v>
      </c>
      <c r="C1335" s="3">
        <v>0.35416666666666669</v>
      </c>
      <c r="D1335" s="5">
        <v>45215</v>
      </c>
      <c r="E1335" s="3">
        <v>0.47916666666666669</v>
      </c>
      <c r="F1335" t="b">
        <v>0</v>
      </c>
      <c r="G1335" s="4" t="s">
        <v>215</v>
      </c>
      <c r="I1335" t="b">
        <v>0</v>
      </c>
    </row>
    <row r="1336" spans="1:9" ht="15" hidden="1" customHeight="1" x14ac:dyDescent="0.2">
      <c r="A1336" t="s">
        <v>214</v>
      </c>
      <c r="B1336" s="5">
        <v>45222</v>
      </c>
      <c r="C1336" s="3">
        <v>0.35416666666666669</v>
      </c>
      <c r="D1336" s="5">
        <v>45222</v>
      </c>
      <c r="E1336" s="3">
        <v>0.47916666666666669</v>
      </c>
      <c r="F1336" t="b">
        <v>0</v>
      </c>
      <c r="G1336" s="4" t="s">
        <v>215</v>
      </c>
      <c r="I1336" t="b">
        <v>0</v>
      </c>
    </row>
    <row r="1337" spans="1:9" ht="15" hidden="1" customHeight="1" x14ac:dyDescent="0.2">
      <c r="A1337" t="s">
        <v>214</v>
      </c>
      <c r="B1337" s="5">
        <v>45229</v>
      </c>
      <c r="C1337" s="3">
        <v>0.35416666666666669</v>
      </c>
      <c r="D1337" s="5">
        <v>45229</v>
      </c>
      <c r="E1337" s="3">
        <v>0.47916666666666669</v>
      </c>
      <c r="F1337" t="b">
        <v>0</v>
      </c>
      <c r="G1337" s="4" t="s">
        <v>215</v>
      </c>
      <c r="I1337" t="b">
        <v>0</v>
      </c>
    </row>
    <row r="1338" spans="1:9" ht="15" hidden="1" customHeight="1" x14ac:dyDescent="0.2">
      <c r="A1338" t="s">
        <v>214</v>
      </c>
      <c r="B1338" s="5">
        <v>45236</v>
      </c>
      <c r="C1338" s="3">
        <v>0.35416666666666669</v>
      </c>
      <c r="D1338" s="5">
        <v>45236</v>
      </c>
      <c r="E1338" s="3">
        <v>0.47916666666666669</v>
      </c>
      <c r="F1338" t="b">
        <v>0</v>
      </c>
      <c r="G1338" s="4" t="s">
        <v>215</v>
      </c>
      <c r="I1338" t="b">
        <v>0</v>
      </c>
    </row>
    <row r="1339" spans="1:9" ht="15" hidden="1" customHeight="1" x14ac:dyDescent="0.2">
      <c r="A1339" t="s">
        <v>229</v>
      </c>
      <c r="B1339" s="5">
        <v>45194</v>
      </c>
      <c r="C1339" s="3">
        <v>0.58333333333333337</v>
      </c>
      <c r="D1339" s="5">
        <v>45194</v>
      </c>
      <c r="E1339" s="3">
        <v>0.70833333333333337</v>
      </c>
      <c r="F1339" t="b">
        <v>0</v>
      </c>
      <c r="G1339" s="4" t="s">
        <v>230</v>
      </c>
      <c r="I1339" t="b">
        <v>0</v>
      </c>
    </row>
    <row r="1340" spans="1:9" ht="15" hidden="1" customHeight="1" x14ac:dyDescent="0.2">
      <c r="A1340" t="s">
        <v>206</v>
      </c>
      <c r="B1340" s="5">
        <v>45196</v>
      </c>
      <c r="C1340" s="3">
        <v>0.35416666666666669</v>
      </c>
      <c r="D1340" s="5">
        <v>45196</v>
      </c>
      <c r="E1340" s="3">
        <v>0.39583333333333337</v>
      </c>
      <c r="F1340" t="b">
        <v>0</v>
      </c>
      <c r="G1340" s="4" t="s">
        <v>207</v>
      </c>
      <c r="H1340" t="s">
        <v>243</v>
      </c>
      <c r="I1340" t="b">
        <v>0</v>
      </c>
    </row>
    <row r="1341" spans="1:9" ht="15" hidden="1" customHeight="1" x14ac:dyDescent="0.2">
      <c r="A1341" t="s">
        <v>206</v>
      </c>
      <c r="B1341" s="5">
        <v>45198</v>
      </c>
      <c r="C1341" s="3">
        <v>0.39583333333333331</v>
      </c>
      <c r="D1341" s="5">
        <v>45198</v>
      </c>
      <c r="E1341" s="3">
        <v>0.4375</v>
      </c>
      <c r="F1341" t="b">
        <v>0</v>
      </c>
      <c r="G1341" s="4" t="s">
        <v>207</v>
      </c>
      <c r="H1341" t="s">
        <v>243</v>
      </c>
      <c r="I1341" t="b">
        <v>0</v>
      </c>
    </row>
    <row r="1342" spans="1:9" ht="15" hidden="1" customHeight="1" x14ac:dyDescent="0.2">
      <c r="A1342" t="s">
        <v>206</v>
      </c>
      <c r="B1342" s="5">
        <v>45201</v>
      </c>
      <c r="C1342" s="3">
        <v>0.47916666666666669</v>
      </c>
      <c r="D1342" s="5">
        <v>45201</v>
      </c>
      <c r="E1342" s="3">
        <v>0.52083333333333337</v>
      </c>
      <c r="F1342" t="b">
        <v>0</v>
      </c>
      <c r="G1342" s="4" t="s">
        <v>207</v>
      </c>
      <c r="H1342" t="s">
        <v>243</v>
      </c>
      <c r="I1342" t="b">
        <v>0</v>
      </c>
    </row>
    <row r="1343" spans="1:9" ht="15" hidden="1" customHeight="1" x14ac:dyDescent="0.2">
      <c r="A1343" t="s">
        <v>206</v>
      </c>
      <c r="B1343" s="5">
        <v>45203</v>
      </c>
      <c r="C1343" s="3">
        <v>0.35416666666666669</v>
      </c>
      <c r="D1343" s="5">
        <v>45203</v>
      </c>
      <c r="E1343" s="3">
        <v>0.39583333333333337</v>
      </c>
      <c r="F1343" t="b">
        <v>0</v>
      </c>
      <c r="G1343" s="4" t="s">
        <v>207</v>
      </c>
      <c r="H1343" t="s">
        <v>243</v>
      </c>
      <c r="I1343" t="b">
        <v>0</v>
      </c>
    </row>
    <row r="1344" spans="1:9" ht="15" hidden="1" customHeight="1" x14ac:dyDescent="0.2">
      <c r="A1344" t="s">
        <v>206</v>
      </c>
      <c r="B1344" s="5">
        <v>45205</v>
      </c>
      <c r="C1344" s="3">
        <v>0.39583333333333331</v>
      </c>
      <c r="D1344" s="5">
        <v>45205</v>
      </c>
      <c r="E1344" s="3">
        <v>0.4375</v>
      </c>
      <c r="F1344" t="b">
        <v>0</v>
      </c>
      <c r="G1344" s="4" t="s">
        <v>207</v>
      </c>
      <c r="H1344" t="s">
        <v>243</v>
      </c>
      <c r="I1344" t="b">
        <v>0</v>
      </c>
    </row>
    <row r="1345" spans="1:9" ht="15" hidden="1" customHeight="1" x14ac:dyDescent="0.2">
      <c r="A1345" t="s">
        <v>206</v>
      </c>
      <c r="B1345" s="5">
        <v>45208</v>
      </c>
      <c r="C1345" s="3">
        <v>0.47916666666666669</v>
      </c>
      <c r="D1345" s="5">
        <v>45208</v>
      </c>
      <c r="E1345" s="3">
        <v>0.52083333333333337</v>
      </c>
      <c r="F1345" t="b">
        <v>0</v>
      </c>
      <c r="G1345" s="4" t="s">
        <v>207</v>
      </c>
      <c r="H1345" t="s">
        <v>243</v>
      </c>
      <c r="I1345" t="b">
        <v>0</v>
      </c>
    </row>
    <row r="1346" spans="1:9" ht="15" hidden="1" customHeight="1" x14ac:dyDescent="0.2">
      <c r="A1346" t="s">
        <v>206</v>
      </c>
      <c r="B1346" s="5">
        <v>45210</v>
      </c>
      <c r="C1346" s="3">
        <v>0.35416666666666669</v>
      </c>
      <c r="D1346" s="5">
        <v>45210</v>
      </c>
      <c r="E1346" s="3">
        <v>0.39583333333333337</v>
      </c>
      <c r="F1346" t="b">
        <v>0</v>
      </c>
      <c r="G1346" s="4" t="s">
        <v>207</v>
      </c>
      <c r="H1346" t="s">
        <v>243</v>
      </c>
      <c r="I1346" t="b">
        <v>0</v>
      </c>
    </row>
    <row r="1347" spans="1:9" ht="15" hidden="1" customHeight="1" x14ac:dyDescent="0.2">
      <c r="A1347" t="s">
        <v>206</v>
      </c>
      <c r="B1347" s="5">
        <v>45212</v>
      </c>
      <c r="C1347" s="3">
        <v>0.39583333333333331</v>
      </c>
      <c r="D1347" s="5">
        <v>45212</v>
      </c>
      <c r="E1347" s="3">
        <v>0.4375</v>
      </c>
      <c r="F1347" t="b">
        <v>0</v>
      </c>
      <c r="G1347" s="4" t="s">
        <v>207</v>
      </c>
      <c r="H1347" t="s">
        <v>243</v>
      </c>
      <c r="I1347" t="b">
        <v>0</v>
      </c>
    </row>
    <row r="1348" spans="1:9" ht="15" hidden="1" customHeight="1" x14ac:dyDescent="0.2">
      <c r="A1348" t="s">
        <v>206</v>
      </c>
      <c r="B1348" s="5">
        <v>45215</v>
      </c>
      <c r="C1348" s="3">
        <v>0.47916666666666669</v>
      </c>
      <c r="D1348" s="5">
        <v>45215</v>
      </c>
      <c r="E1348" s="3">
        <v>0.52083333333333337</v>
      </c>
      <c r="F1348" t="b">
        <v>0</v>
      </c>
      <c r="G1348" s="4" t="s">
        <v>207</v>
      </c>
      <c r="H1348" t="s">
        <v>243</v>
      </c>
      <c r="I1348" t="b">
        <v>0</v>
      </c>
    </row>
    <row r="1349" spans="1:9" ht="15" hidden="1" customHeight="1" x14ac:dyDescent="0.2">
      <c r="A1349" t="s">
        <v>206</v>
      </c>
      <c r="B1349" s="5">
        <v>45217</v>
      </c>
      <c r="C1349" s="3">
        <v>0.35416666666666669</v>
      </c>
      <c r="D1349" s="5">
        <v>45217</v>
      </c>
      <c r="E1349" s="3">
        <v>0.39583333333333337</v>
      </c>
      <c r="F1349" t="b">
        <v>0</v>
      </c>
      <c r="G1349" s="4" t="s">
        <v>207</v>
      </c>
      <c r="H1349" t="s">
        <v>243</v>
      </c>
      <c r="I1349" t="b">
        <v>0</v>
      </c>
    </row>
    <row r="1350" spans="1:9" ht="15" hidden="1" customHeight="1" x14ac:dyDescent="0.2">
      <c r="A1350" t="s">
        <v>206</v>
      </c>
      <c r="B1350" s="5">
        <v>45219</v>
      </c>
      <c r="C1350" s="3">
        <v>0.39583333333333331</v>
      </c>
      <c r="D1350" s="5">
        <v>45219</v>
      </c>
      <c r="E1350" s="3">
        <v>0.4375</v>
      </c>
      <c r="F1350" t="b">
        <v>0</v>
      </c>
      <c r="G1350" s="4" t="s">
        <v>207</v>
      </c>
      <c r="H1350" t="s">
        <v>243</v>
      </c>
      <c r="I1350" t="b">
        <v>0</v>
      </c>
    </row>
    <row r="1351" spans="1:9" ht="15" hidden="1" customHeight="1" x14ac:dyDescent="0.2">
      <c r="A1351" t="s">
        <v>206</v>
      </c>
      <c r="B1351" s="5">
        <v>45222</v>
      </c>
      <c r="C1351" s="3">
        <v>0.47916666666666669</v>
      </c>
      <c r="D1351" s="5">
        <v>45222</v>
      </c>
      <c r="E1351" s="3">
        <v>0.52083333333333337</v>
      </c>
      <c r="F1351" t="b">
        <v>0</v>
      </c>
      <c r="G1351" s="4" t="s">
        <v>207</v>
      </c>
      <c r="H1351" t="s">
        <v>243</v>
      </c>
      <c r="I1351" t="b">
        <v>0</v>
      </c>
    </row>
    <row r="1352" spans="1:9" ht="15" hidden="1" customHeight="1" x14ac:dyDescent="0.2">
      <c r="A1352" t="s">
        <v>206</v>
      </c>
      <c r="B1352" s="5">
        <v>45224</v>
      </c>
      <c r="C1352" s="3">
        <v>0.35416666666666669</v>
      </c>
      <c r="D1352" s="5">
        <v>45224</v>
      </c>
      <c r="E1352" s="3">
        <v>0.39583333333333337</v>
      </c>
      <c r="F1352" t="b">
        <v>0</v>
      </c>
      <c r="G1352" s="4" t="s">
        <v>207</v>
      </c>
      <c r="H1352" t="s">
        <v>243</v>
      </c>
      <c r="I1352" t="b">
        <v>0</v>
      </c>
    </row>
    <row r="1353" spans="1:9" ht="15" hidden="1" customHeight="1" x14ac:dyDescent="0.2">
      <c r="A1353" t="s">
        <v>206</v>
      </c>
      <c r="B1353" s="5">
        <v>45226</v>
      </c>
      <c r="C1353" s="3">
        <v>0.39583333333333331</v>
      </c>
      <c r="D1353" s="5">
        <v>45226</v>
      </c>
      <c r="E1353" s="3">
        <v>0.4375</v>
      </c>
      <c r="F1353" t="b">
        <v>0</v>
      </c>
      <c r="G1353" s="4" t="s">
        <v>207</v>
      </c>
      <c r="H1353" t="s">
        <v>243</v>
      </c>
      <c r="I1353" t="b">
        <v>0</v>
      </c>
    </row>
    <row r="1354" spans="1:9" ht="15" hidden="1" customHeight="1" x14ac:dyDescent="0.2">
      <c r="A1354" t="s">
        <v>206</v>
      </c>
      <c r="B1354" s="5">
        <v>45229</v>
      </c>
      <c r="C1354" s="3">
        <v>0.47916666666666669</v>
      </c>
      <c r="D1354" s="5">
        <v>45229</v>
      </c>
      <c r="E1354" s="3">
        <v>0.52083333333333337</v>
      </c>
      <c r="F1354" t="b">
        <v>0</v>
      </c>
      <c r="G1354" s="4" t="s">
        <v>207</v>
      </c>
      <c r="H1354" t="s">
        <v>243</v>
      </c>
      <c r="I1354" t="b">
        <v>0</v>
      </c>
    </row>
    <row r="1355" spans="1:9" ht="15" hidden="1" customHeight="1" x14ac:dyDescent="0.2">
      <c r="A1355" t="s">
        <v>206</v>
      </c>
      <c r="B1355" s="5">
        <v>45231</v>
      </c>
      <c r="C1355" s="3">
        <v>0.35416666666666669</v>
      </c>
      <c r="D1355" s="5">
        <v>45231</v>
      </c>
      <c r="E1355" s="3">
        <v>0.39583333333333337</v>
      </c>
      <c r="F1355" t="b">
        <v>0</v>
      </c>
      <c r="G1355" s="4" t="s">
        <v>207</v>
      </c>
      <c r="H1355" t="s">
        <v>243</v>
      </c>
      <c r="I1355" t="b">
        <v>0</v>
      </c>
    </row>
    <row r="1356" spans="1:9" ht="15" hidden="1" customHeight="1" x14ac:dyDescent="0.2">
      <c r="A1356" t="s">
        <v>206</v>
      </c>
      <c r="B1356" s="5">
        <v>45233</v>
      </c>
      <c r="C1356" s="3">
        <v>0.39583333333333331</v>
      </c>
      <c r="D1356" s="5">
        <v>45233</v>
      </c>
      <c r="E1356" s="3">
        <v>0.4375</v>
      </c>
      <c r="F1356" t="b">
        <v>0</v>
      </c>
      <c r="G1356" s="4" t="s">
        <v>207</v>
      </c>
      <c r="H1356" t="s">
        <v>243</v>
      </c>
      <c r="I1356" t="b">
        <v>0</v>
      </c>
    </row>
    <row r="1357" spans="1:9" ht="15" hidden="1" customHeight="1" x14ac:dyDescent="0.2">
      <c r="A1357" t="s">
        <v>206</v>
      </c>
      <c r="B1357" s="5">
        <v>45236</v>
      </c>
      <c r="C1357" s="3">
        <v>0.47916666666666669</v>
      </c>
      <c r="D1357" s="5">
        <v>45236</v>
      </c>
      <c r="E1357" s="3">
        <v>0.52083333333333337</v>
      </c>
      <c r="F1357" t="b">
        <v>0</v>
      </c>
      <c r="G1357" s="4" t="s">
        <v>207</v>
      </c>
      <c r="H1357" t="s">
        <v>243</v>
      </c>
      <c r="I1357" t="b">
        <v>0</v>
      </c>
    </row>
    <row r="1358" spans="1:9" ht="15" hidden="1" customHeight="1" x14ac:dyDescent="0.2">
      <c r="A1358" t="s">
        <v>206</v>
      </c>
      <c r="B1358" s="5">
        <v>45238</v>
      </c>
      <c r="C1358" s="3">
        <v>0.35416666666666669</v>
      </c>
      <c r="D1358" s="5">
        <v>45238</v>
      </c>
      <c r="E1358" s="3">
        <v>0.39583333333333337</v>
      </c>
      <c r="F1358" t="b">
        <v>0</v>
      </c>
      <c r="G1358" s="4" t="s">
        <v>207</v>
      </c>
      <c r="H1358" t="s">
        <v>243</v>
      </c>
      <c r="I1358" t="b">
        <v>0</v>
      </c>
    </row>
    <row r="1359" spans="1:9" ht="15" hidden="1" customHeight="1" x14ac:dyDescent="0.2">
      <c r="A1359" t="s">
        <v>206</v>
      </c>
      <c r="B1359" s="5">
        <v>45240</v>
      </c>
      <c r="C1359" s="3">
        <v>0.39583333333333331</v>
      </c>
      <c r="D1359" s="5">
        <v>45240</v>
      </c>
      <c r="E1359" s="3">
        <v>0.4375</v>
      </c>
      <c r="F1359" t="b">
        <v>0</v>
      </c>
      <c r="G1359" s="4" t="s">
        <v>207</v>
      </c>
      <c r="H1359" t="s">
        <v>243</v>
      </c>
      <c r="I1359" t="b">
        <v>0</v>
      </c>
    </row>
    <row r="1360" spans="1:9" ht="15" hidden="1" customHeight="1" x14ac:dyDescent="0.2">
      <c r="A1360" s="6" t="s">
        <v>259</v>
      </c>
      <c r="B1360" s="5">
        <v>45194</v>
      </c>
      <c r="C1360" s="3">
        <v>0.625</v>
      </c>
      <c r="D1360" s="5">
        <v>45194</v>
      </c>
      <c r="E1360" s="3">
        <v>0.66666666666666663</v>
      </c>
      <c r="F1360" t="b">
        <v>0</v>
      </c>
      <c r="G1360" s="7" t="s">
        <v>260</v>
      </c>
      <c r="H1360" t="s">
        <v>233</v>
      </c>
      <c r="I1360" t="b">
        <v>0</v>
      </c>
    </row>
    <row r="1361" spans="1:9" ht="15" hidden="1" customHeight="1" x14ac:dyDescent="0.2">
      <c r="A1361" s="3" t="s">
        <v>300</v>
      </c>
      <c r="B1361" s="5">
        <v>45201</v>
      </c>
      <c r="C1361" s="3">
        <v>0.58333333333333337</v>
      </c>
      <c r="D1361" s="5">
        <v>45201</v>
      </c>
      <c r="E1361" s="3">
        <v>0.70833333333333337</v>
      </c>
      <c r="F1361" t="b">
        <v>0</v>
      </c>
      <c r="G1361" s="3" t="s">
        <v>301</v>
      </c>
      <c r="H1361" s="3"/>
      <c r="I1361" t="b">
        <v>0</v>
      </c>
    </row>
    <row r="1362" spans="1:9" ht="15" hidden="1" customHeight="1" x14ac:dyDescent="0.2">
      <c r="A1362" s="3" t="s">
        <v>300</v>
      </c>
      <c r="B1362" s="5">
        <v>45208</v>
      </c>
      <c r="C1362" s="3">
        <v>0.58333333333333337</v>
      </c>
      <c r="D1362" s="5">
        <v>45208</v>
      </c>
      <c r="E1362" s="3">
        <v>0.70833333333333337</v>
      </c>
      <c r="F1362" t="b">
        <v>0</v>
      </c>
      <c r="G1362" s="3" t="s">
        <v>301</v>
      </c>
      <c r="H1362" s="3"/>
      <c r="I1362" t="b">
        <v>0</v>
      </c>
    </row>
    <row r="1363" spans="1:9" ht="15" hidden="1" customHeight="1" x14ac:dyDescent="0.2">
      <c r="A1363" s="3" t="s">
        <v>300</v>
      </c>
      <c r="B1363" s="5">
        <v>45215</v>
      </c>
      <c r="C1363" s="3">
        <v>0.58333333333333337</v>
      </c>
      <c r="D1363" s="5">
        <v>45215</v>
      </c>
      <c r="E1363" s="3">
        <v>0.70833333333333337</v>
      </c>
      <c r="F1363" t="b">
        <v>0</v>
      </c>
      <c r="G1363" s="3" t="s">
        <v>301</v>
      </c>
      <c r="H1363" s="3"/>
      <c r="I1363" t="b">
        <v>0</v>
      </c>
    </row>
    <row r="1364" spans="1:9" ht="15" hidden="1" customHeight="1" x14ac:dyDescent="0.2">
      <c r="A1364" s="3" t="s">
        <v>300</v>
      </c>
      <c r="B1364" s="5">
        <v>45222</v>
      </c>
      <c r="C1364" s="3">
        <v>0.58333333333333337</v>
      </c>
      <c r="D1364" s="5">
        <v>45222</v>
      </c>
      <c r="E1364" s="3">
        <v>0.70833333333333337</v>
      </c>
      <c r="F1364" t="b">
        <v>0</v>
      </c>
      <c r="G1364" s="3" t="s">
        <v>301</v>
      </c>
      <c r="H1364" s="3"/>
      <c r="I1364" t="b">
        <v>0</v>
      </c>
    </row>
    <row r="1365" spans="1:9" ht="15" hidden="1" customHeight="1" x14ac:dyDescent="0.2">
      <c r="A1365" s="3" t="s">
        <v>300</v>
      </c>
      <c r="B1365" s="5">
        <v>45229</v>
      </c>
      <c r="C1365" s="3">
        <v>0.58333333333333337</v>
      </c>
      <c r="D1365" s="5">
        <v>45229</v>
      </c>
      <c r="E1365" s="3">
        <v>0.70833333333333337</v>
      </c>
      <c r="F1365" t="b">
        <v>0</v>
      </c>
      <c r="G1365" s="3" t="s">
        <v>301</v>
      </c>
      <c r="H1365" s="3"/>
      <c r="I1365" t="b">
        <v>0</v>
      </c>
    </row>
    <row r="1366" spans="1:9" ht="15" hidden="1" customHeight="1" x14ac:dyDescent="0.2">
      <c r="A1366" s="3" t="s">
        <v>300</v>
      </c>
      <c r="B1366" s="5">
        <v>45236</v>
      </c>
      <c r="C1366" s="3">
        <v>0.58333333333333337</v>
      </c>
      <c r="D1366" s="5">
        <v>45236</v>
      </c>
      <c r="E1366" s="3">
        <v>0.70833333333333337</v>
      </c>
      <c r="F1366" t="b">
        <v>0</v>
      </c>
      <c r="G1366" s="3" t="s">
        <v>301</v>
      </c>
      <c r="H1366" s="3"/>
      <c r="I1366" t="b">
        <v>0</v>
      </c>
    </row>
    <row r="1367" spans="1:9" ht="15" hidden="1" customHeight="1" x14ac:dyDescent="0.2">
      <c r="A1367" s="6" t="s">
        <v>287</v>
      </c>
      <c r="B1367" s="5">
        <v>45195</v>
      </c>
      <c r="C1367" s="3">
        <v>0.70833333333333337</v>
      </c>
      <c r="D1367" s="5">
        <v>45195</v>
      </c>
      <c r="E1367" s="3">
        <v>0.75</v>
      </c>
      <c r="F1367" t="b">
        <v>0</v>
      </c>
      <c r="G1367" s="7" t="s">
        <v>288</v>
      </c>
      <c r="H1367" t="s">
        <v>236</v>
      </c>
      <c r="I1367" t="b">
        <v>0</v>
      </c>
    </row>
    <row r="1368" spans="1:9" ht="15" hidden="1" customHeight="1" x14ac:dyDescent="0.2">
      <c r="A1368" s="6" t="s">
        <v>287</v>
      </c>
      <c r="B1368" s="5">
        <v>45196</v>
      </c>
      <c r="C1368" s="3">
        <v>0.625</v>
      </c>
      <c r="D1368" s="5">
        <v>45196</v>
      </c>
      <c r="E1368" s="3">
        <v>0.66666666666666663</v>
      </c>
      <c r="F1368" t="b">
        <v>0</v>
      </c>
      <c r="G1368" s="7" t="s">
        <v>288</v>
      </c>
      <c r="H1368" t="s">
        <v>236</v>
      </c>
      <c r="I1368" t="b">
        <v>0</v>
      </c>
    </row>
    <row r="1369" spans="1:9" ht="15" hidden="1" customHeight="1" x14ac:dyDescent="0.2">
      <c r="A1369" s="6" t="s">
        <v>287</v>
      </c>
      <c r="B1369" s="5">
        <v>45197</v>
      </c>
      <c r="C1369" s="3">
        <v>0.66666666666666663</v>
      </c>
      <c r="D1369" s="5">
        <v>45197</v>
      </c>
      <c r="E1369" s="3">
        <v>0.70833333333333326</v>
      </c>
      <c r="F1369" t="b">
        <v>0</v>
      </c>
      <c r="G1369" s="7" t="s">
        <v>288</v>
      </c>
      <c r="H1369" t="s">
        <v>236</v>
      </c>
      <c r="I1369" t="b">
        <v>0</v>
      </c>
    </row>
    <row r="1370" spans="1:9" ht="15" hidden="1" customHeight="1" x14ac:dyDescent="0.2">
      <c r="A1370" s="3" t="s">
        <v>287</v>
      </c>
      <c r="B1370" s="5">
        <v>45202</v>
      </c>
      <c r="C1370" s="3">
        <v>0.70833333333333337</v>
      </c>
      <c r="D1370" s="5">
        <v>45202</v>
      </c>
      <c r="E1370" s="3">
        <v>0.75</v>
      </c>
      <c r="F1370" t="b">
        <v>0</v>
      </c>
      <c r="G1370" s="3" t="s">
        <v>288</v>
      </c>
      <c r="H1370" s="3" t="s">
        <v>236</v>
      </c>
      <c r="I1370" t="b">
        <v>0</v>
      </c>
    </row>
    <row r="1371" spans="1:9" ht="15" hidden="1" customHeight="1" x14ac:dyDescent="0.2">
      <c r="A1371" s="3" t="s">
        <v>287</v>
      </c>
      <c r="B1371" s="5">
        <v>45203</v>
      </c>
      <c r="C1371" s="3">
        <v>0.625</v>
      </c>
      <c r="D1371" s="5">
        <v>45203</v>
      </c>
      <c r="E1371" s="3">
        <v>0.66666666666666663</v>
      </c>
      <c r="F1371" t="b">
        <v>0</v>
      </c>
      <c r="G1371" s="3" t="s">
        <v>288</v>
      </c>
      <c r="H1371" s="3" t="s">
        <v>236</v>
      </c>
      <c r="I1371" t="b">
        <v>0</v>
      </c>
    </row>
    <row r="1372" spans="1:9" ht="15" hidden="1" customHeight="1" x14ac:dyDescent="0.2">
      <c r="A1372" s="3" t="s">
        <v>287</v>
      </c>
      <c r="B1372" s="5">
        <v>45204</v>
      </c>
      <c r="C1372" s="3">
        <v>0.66666666666666663</v>
      </c>
      <c r="D1372" s="5">
        <v>45204</v>
      </c>
      <c r="E1372" s="3">
        <v>0.70833333333333326</v>
      </c>
      <c r="F1372" t="b">
        <v>0</v>
      </c>
      <c r="G1372" s="3" t="s">
        <v>288</v>
      </c>
      <c r="H1372" s="3" t="s">
        <v>236</v>
      </c>
      <c r="I1372" t="b">
        <v>0</v>
      </c>
    </row>
    <row r="1373" spans="1:9" ht="15" hidden="1" customHeight="1" x14ac:dyDescent="0.2">
      <c r="A1373" s="3" t="s">
        <v>287</v>
      </c>
      <c r="B1373" s="5">
        <v>45209</v>
      </c>
      <c r="C1373" s="3">
        <v>0.70833333333333337</v>
      </c>
      <c r="D1373" s="5">
        <v>45209</v>
      </c>
      <c r="E1373" s="3">
        <v>0.75</v>
      </c>
      <c r="F1373" t="b">
        <v>0</v>
      </c>
      <c r="G1373" s="3" t="s">
        <v>288</v>
      </c>
      <c r="H1373" s="3" t="s">
        <v>236</v>
      </c>
      <c r="I1373" t="b">
        <v>0</v>
      </c>
    </row>
    <row r="1374" spans="1:9" ht="15" hidden="1" customHeight="1" x14ac:dyDescent="0.2">
      <c r="A1374" s="3" t="s">
        <v>287</v>
      </c>
      <c r="B1374" s="5">
        <v>45210</v>
      </c>
      <c r="C1374" s="3">
        <v>0.625</v>
      </c>
      <c r="D1374" s="5">
        <v>45210</v>
      </c>
      <c r="E1374" s="3">
        <v>0.66666666666666663</v>
      </c>
      <c r="F1374" t="b">
        <v>0</v>
      </c>
      <c r="G1374" s="3" t="s">
        <v>288</v>
      </c>
      <c r="H1374" s="3" t="s">
        <v>236</v>
      </c>
      <c r="I1374" t="b">
        <v>0</v>
      </c>
    </row>
    <row r="1375" spans="1:9" ht="15" hidden="1" customHeight="1" x14ac:dyDescent="0.2">
      <c r="A1375" s="3" t="s">
        <v>287</v>
      </c>
      <c r="B1375" s="5">
        <v>45211</v>
      </c>
      <c r="C1375" s="3">
        <v>0.66666666666666663</v>
      </c>
      <c r="D1375" s="5">
        <v>45211</v>
      </c>
      <c r="E1375" s="3">
        <v>0.70833333333333326</v>
      </c>
      <c r="F1375" t="b">
        <v>0</v>
      </c>
      <c r="G1375" s="3" t="s">
        <v>288</v>
      </c>
      <c r="H1375" s="3" t="s">
        <v>236</v>
      </c>
      <c r="I1375" t="b">
        <v>0</v>
      </c>
    </row>
    <row r="1376" spans="1:9" ht="15" hidden="1" customHeight="1" x14ac:dyDescent="0.2">
      <c r="A1376" s="3" t="s">
        <v>287</v>
      </c>
      <c r="B1376" s="5">
        <v>45216</v>
      </c>
      <c r="C1376" s="3">
        <v>0.70833333333333337</v>
      </c>
      <c r="D1376" s="5">
        <v>45216</v>
      </c>
      <c r="E1376" s="3">
        <v>0.75</v>
      </c>
      <c r="F1376" t="b">
        <v>0</v>
      </c>
      <c r="G1376" s="3" t="s">
        <v>288</v>
      </c>
      <c r="H1376" s="3" t="s">
        <v>236</v>
      </c>
      <c r="I1376" t="b">
        <v>0</v>
      </c>
    </row>
    <row r="1377" spans="1:9" ht="15" hidden="1" customHeight="1" x14ac:dyDescent="0.2">
      <c r="A1377" s="3" t="s">
        <v>287</v>
      </c>
      <c r="B1377" s="5">
        <v>45217</v>
      </c>
      <c r="C1377" s="3">
        <v>0.625</v>
      </c>
      <c r="D1377" s="5">
        <v>45217</v>
      </c>
      <c r="E1377" s="3">
        <v>0.66666666666666663</v>
      </c>
      <c r="F1377" t="b">
        <v>0</v>
      </c>
      <c r="G1377" s="3" t="s">
        <v>288</v>
      </c>
      <c r="H1377" s="3" t="s">
        <v>236</v>
      </c>
      <c r="I1377" t="b">
        <v>0</v>
      </c>
    </row>
    <row r="1378" spans="1:9" ht="15" hidden="1" customHeight="1" x14ac:dyDescent="0.2">
      <c r="A1378" s="3" t="s">
        <v>287</v>
      </c>
      <c r="B1378" s="5">
        <v>45218</v>
      </c>
      <c r="C1378" s="3">
        <v>0.66666666666666663</v>
      </c>
      <c r="D1378" s="5">
        <v>45218</v>
      </c>
      <c r="E1378" s="3">
        <v>0.70833333333333326</v>
      </c>
      <c r="F1378" t="b">
        <v>0</v>
      </c>
      <c r="G1378" s="3" t="s">
        <v>288</v>
      </c>
      <c r="H1378" s="3" t="s">
        <v>236</v>
      </c>
      <c r="I1378" t="b">
        <v>0</v>
      </c>
    </row>
    <row r="1379" spans="1:9" ht="15" hidden="1" customHeight="1" x14ac:dyDescent="0.2">
      <c r="A1379" s="3" t="s">
        <v>287</v>
      </c>
      <c r="B1379" s="5">
        <v>45223</v>
      </c>
      <c r="C1379" s="3">
        <v>0.70833333333333337</v>
      </c>
      <c r="D1379" s="5">
        <v>45223</v>
      </c>
      <c r="E1379" s="3">
        <v>0.75</v>
      </c>
      <c r="F1379" t="b">
        <v>0</v>
      </c>
      <c r="G1379" s="3" t="s">
        <v>288</v>
      </c>
      <c r="H1379" s="3" t="s">
        <v>236</v>
      </c>
      <c r="I1379" t="b">
        <v>0</v>
      </c>
    </row>
    <row r="1380" spans="1:9" ht="15" hidden="1" customHeight="1" x14ac:dyDescent="0.2">
      <c r="A1380" s="3" t="s">
        <v>287</v>
      </c>
      <c r="B1380" s="5">
        <v>45224</v>
      </c>
      <c r="C1380" s="3">
        <v>0.625</v>
      </c>
      <c r="D1380" s="5">
        <v>45224</v>
      </c>
      <c r="E1380" s="3">
        <v>0.66666666666666663</v>
      </c>
      <c r="F1380" t="b">
        <v>0</v>
      </c>
      <c r="G1380" s="3" t="s">
        <v>288</v>
      </c>
      <c r="H1380" s="3" t="s">
        <v>236</v>
      </c>
      <c r="I1380" t="b">
        <v>0</v>
      </c>
    </row>
    <row r="1381" spans="1:9" ht="15" hidden="1" customHeight="1" x14ac:dyDescent="0.2">
      <c r="A1381" s="3" t="s">
        <v>287</v>
      </c>
      <c r="B1381" s="5">
        <v>45225</v>
      </c>
      <c r="C1381" s="3">
        <v>0.66666666666666663</v>
      </c>
      <c r="D1381" s="5">
        <v>45225</v>
      </c>
      <c r="E1381" s="3">
        <v>0.70833333333333326</v>
      </c>
      <c r="F1381" t="b">
        <v>0</v>
      </c>
      <c r="G1381" s="3" t="s">
        <v>288</v>
      </c>
      <c r="H1381" s="3" t="s">
        <v>236</v>
      </c>
      <c r="I1381" t="b">
        <v>0</v>
      </c>
    </row>
    <row r="1382" spans="1:9" ht="15" hidden="1" customHeight="1" x14ac:dyDescent="0.2">
      <c r="A1382" s="3" t="s">
        <v>287</v>
      </c>
      <c r="B1382" s="5">
        <v>45230</v>
      </c>
      <c r="C1382" s="3">
        <v>0.70833333333333337</v>
      </c>
      <c r="D1382" s="5">
        <v>45230</v>
      </c>
      <c r="E1382" s="3">
        <v>0.75</v>
      </c>
      <c r="F1382" t="b">
        <v>0</v>
      </c>
      <c r="G1382" s="3" t="s">
        <v>288</v>
      </c>
      <c r="H1382" s="3" t="s">
        <v>236</v>
      </c>
      <c r="I1382" t="b">
        <v>0</v>
      </c>
    </row>
    <row r="1383" spans="1:9" ht="15" hidden="1" customHeight="1" x14ac:dyDescent="0.2">
      <c r="A1383" s="3" t="s">
        <v>287</v>
      </c>
      <c r="B1383" s="5">
        <v>45231</v>
      </c>
      <c r="C1383" s="3">
        <v>0.625</v>
      </c>
      <c r="D1383" s="5">
        <v>45231</v>
      </c>
      <c r="E1383" s="3">
        <v>0.66666666666666663</v>
      </c>
      <c r="F1383" t="b">
        <v>0</v>
      </c>
      <c r="G1383" s="3" t="s">
        <v>288</v>
      </c>
      <c r="H1383" s="3" t="s">
        <v>236</v>
      </c>
      <c r="I1383" t="b">
        <v>0</v>
      </c>
    </row>
    <row r="1384" spans="1:9" ht="15" hidden="1" customHeight="1" x14ac:dyDescent="0.2">
      <c r="A1384" s="3" t="s">
        <v>287</v>
      </c>
      <c r="B1384" s="5">
        <v>45232</v>
      </c>
      <c r="C1384" s="3">
        <v>0.66666666666666663</v>
      </c>
      <c r="D1384" s="5">
        <v>45232</v>
      </c>
      <c r="E1384" s="3">
        <v>0.70833333333333326</v>
      </c>
      <c r="F1384" t="b">
        <v>0</v>
      </c>
      <c r="G1384" s="3" t="s">
        <v>288</v>
      </c>
      <c r="H1384" s="3" t="s">
        <v>236</v>
      </c>
      <c r="I1384" t="b">
        <v>0</v>
      </c>
    </row>
    <row r="1385" spans="1:9" ht="15" hidden="1" customHeight="1" x14ac:dyDescent="0.2">
      <c r="A1385" s="3" t="s">
        <v>287</v>
      </c>
      <c r="B1385" s="5">
        <v>45237</v>
      </c>
      <c r="C1385" s="3">
        <v>0.70833333333333337</v>
      </c>
      <c r="D1385" s="5">
        <v>45237</v>
      </c>
      <c r="E1385" s="3">
        <v>0.75</v>
      </c>
      <c r="F1385" t="b">
        <v>0</v>
      </c>
      <c r="G1385" s="3" t="s">
        <v>288</v>
      </c>
      <c r="H1385" s="3" t="s">
        <v>236</v>
      </c>
      <c r="I1385" t="b">
        <v>0</v>
      </c>
    </row>
    <row r="1386" spans="1:9" ht="15" hidden="1" customHeight="1" x14ac:dyDescent="0.2">
      <c r="A1386" s="3" t="s">
        <v>287</v>
      </c>
      <c r="B1386" s="5">
        <v>45238</v>
      </c>
      <c r="C1386" s="3">
        <v>0.625</v>
      </c>
      <c r="D1386" s="5">
        <v>45238</v>
      </c>
      <c r="E1386" s="3">
        <v>0.66666666666666663</v>
      </c>
      <c r="F1386" t="b">
        <v>0</v>
      </c>
      <c r="G1386" s="3" t="s">
        <v>288</v>
      </c>
      <c r="H1386" s="3" t="s">
        <v>236</v>
      </c>
      <c r="I1386" t="b">
        <v>0</v>
      </c>
    </row>
    <row r="1387" spans="1:9" ht="15" hidden="1" customHeight="1" x14ac:dyDescent="0.2">
      <c r="A1387" s="3" t="s">
        <v>287</v>
      </c>
      <c r="B1387" s="5">
        <v>45239</v>
      </c>
      <c r="C1387" s="3">
        <v>0.66666666666666663</v>
      </c>
      <c r="D1387" s="5">
        <v>45239</v>
      </c>
      <c r="E1387" s="3">
        <v>0.70833333333333326</v>
      </c>
      <c r="F1387" t="b">
        <v>0</v>
      </c>
      <c r="G1387" s="3" t="s">
        <v>288</v>
      </c>
      <c r="H1387" s="3" t="s">
        <v>236</v>
      </c>
      <c r="I1387" t="b">
        <v>0</v>
      </c>
    </row>
    <row r="1388" spans="1:9" ht="15" hidden="1" customHeight="1" x14ac:dyDescent="0.2">
      <c r="A1388" s="6" t="s">
        <v>273</v>
      </c>
      <c r="B1388" s="10">
        <v>45195</v>
      </c>
      <c r="C1388" s="3">
        <v>0.625</v>
      </c>
      <c r="D1388" s="5">
        <v>45195</v>
      </c>
      <c r="E1388" s="3">
        <v>0.66666666666666663</v>
      </c>
      <c r="F1388" t="b">
        <v>0</v>
      </c>
      <c r="G1388" s="6" t="s">
        <v>274</v>
      </c>
      <c r="H1388" t="s">
        <v>243</v>
      </c>
      <c r="I1388" t="b">
        <v>0</v>
      </c>
    </row>
    <row r="1389" spans="1:9" ht="15" hidden="1" customHeight="1" x14ac:dyDescent="0.2">
      <c r="A1389" s="6" t="s">
        <v>273</v>
      </c>
      <c r="B1389" s="5">
        <v>45196</v>
      </c>
      <c r="C1389" s="3">
        <v>0.58333333333333337</v>
      </c>
      <c r="D1389" s="5">
        <v>45196</v>
      </c>
      <c r="E1389" s="3">
        <v>0.625</v>
      </c>
      <c r="F1389" t="b">
        <v>0</v>
      </c>
      <c r="G1389" s="9" t="s">
        <v>274</v>
      </c>
      <c r="H1389" t="s">
        <v>243</v>
      </c>
      <c r="I1389" t="b">
        <v>0</v>
      </c>
    </row>
    <row r="1390" spans="1:9" ht="15" hidden="1" customHeight="1" x14ac:dyDescent="0.2">
      <c r="A1390" s="6" t="s">
        <v>273</v>
      </c>
      <c r="B1390" s="5">
        <v>45197</v>
      </c>
      <c r="C1390" s="3">
        <v>0.70833333333333337</v>
      </c>
      <c r="D1390" s="5">
        <v>45197</v>
      </c>
      <c r="E1390" s="3">
        <v>0.75</v>
      </c>
      <c r="F1390" t="b">
        <v>0</v>
      </c>
      <c r="G1390" s="9" t="s">
        <v>274</v>
      </c>
      <c r="H1390" t="s">
        <v>243</v>
      </c>
      <c r="I1390" t="b">
        <v>0</v>
      </c>
    </row>
    <row r="1391" spans="1:9" ht="15" hidden="1" customHeight="1" x14ac:dyDescent="0.2">
      <c r="A1391" s="3" t="s">
        <v>273</v>
      </c>
      <c r="B1391" s="5">
        <v>45202</v>
      </c>
      <c r="C1391" s="3">
        <v>0.625</v>
      </c>
      <c r="D1391" s="5">
        <v>45202</v>
      </c>
      <c r="E1391" s="3">
        <v>0.66666666666666663</v>
      </c>
      <c r="F1391" t="b">
        <v>0</v>
      </c>
      <c r="G1391" s="3" t="s">
        <v>274</v>
      </c>
      <c r="H1391" s="3" t="s">
        <v>243</v>
      </c>
      <c r="I1391" t="b">
        <v>0</v>
      </c>
    </row>
    <row r="1392" spans="1:9" ht="15" hidden="1" customHeight="1" x14ac:dyDescent="0.2">
      <c r="A1392" s="3" t="s">
        <v>273</v>
      </c>
      <c r="B1392" s="5">
        <v>45203</v>
      </c>
      <c r="C1392" s="3">
        <v>0.58333333333333337</v>
      </c>
      <c r="D1392" s="5">
        <v>45203</v>
      </c>
      <c r="E1392" s="3">
        <v>0.625</v>
      </c>
      <c r="F1392" t="b">
        <v>0</v>
      </c>
      <c r="G1392" s="3" t="s">
        <v>274</v>
      </c>
      <c r="H1392" s="3" t="s">
        <v>243</v>
      </c>
      <c r="I1392" t="b">
        <v>0</v>
      </c>
    </row>
    <row r="1393" spans="1:9" ht="15" hidden="1" customHeight="1" x14ac:dyDescent="0.2">
      <c r="A1393" s="3" t="s">
        <v>273</v>
      </c>
      <c r="B1393" s="5">
        <v>45204</v>
      </c>
      <c r="C1393" s="3">
        <v>0.70833333333333337</v>
      </c>
      <c r="D1393" s="5">
        <v>45204</v>
      </c>
      <c r="E1393" s="3">
        <v>0.75</v>
      </c>
      <c r="F1393" t="b">
        <v>0</v>
      </c>
      <c r="G1393" s="3" t="s">
        <v>274</v>
      </c>
      <c r="H1393" s="3" t="s">
        <v>243</v>
      </c>
      <c r="I1393" t="b">
        <v>0</v>
      </c>
    </row>
    <row r="1394" spans="1:9" ht="15" hidden="1" customHeight="1" x14ac:dyDescent="0.2">
      <c r="A1394" s="3" t="s">
        <v>273</v>
      </c>
      <c r="B1394" s="5">
        <v>45209</v>
      </c>
      <c r="C1394" s="3">
        <v>0.625</v>
      </c>
      <c r="D1394" s="5">
        <v>45209</v>
      </c>
      <c r="E1394" s="3">
        <v>0.66666666666666663</v>
      </c>
      <c r="F1394" t="b">
        <v>0</v>
      </c>
      <c r="G1394" s="3" t="s">
        <v>274</v>
      </c>
      <c r="H1394" s="3" t="s">
        <v>243</v>
      </c>
      <c r="I1394" t="b">
        <v>0</v>
      </c>
    </row>
    <row r="1395" spans="1:9" ht="15" hidden="1" customHeight="1" x14ac:dyDescent="0.2">
      <c r="A1395" s="3" t="s">
        <v>273</v>
      </c>
      <c r="B1395" s="5">
        <v>45210</v>
      </c>
      <c r="C1395" s="3">
        <v>0.58333333333333337</v>
      </c>
      <c r="D1395" s="5">
        <v>45210</v>
      </c>
      <c r="E1395" s="3">
        <v>0.625</v>
      </c>
      <c r="F1395" t="b">
        <v>0</v>
      </c>
      <c r="G1395" s="3" t="s">
        <v>274</v>
      </c>
      <c r="H1395" s="3" t="s">
        <v>243</v>
      </c>
      <c r="I1395" t="b">
        <v>0</v>
      </c>
    </row>
    <row r="1396" spans="1:9" ht="15" hidden="1" customHeight="1" x14ac:dyDescent="0.2">
      <c r="A1396" s="3" t="s">
        <v>273</v>
      </c>
      <c r="B1396" s="5">
        <v>45211</v>
      </c>
      <c r="C1396" s="3">
        <v>0.70833333333333337</v>
      </c>
      <c r="D1396" s="5">
        <v>45211</v>
      </c>
      <c r="E1396" s="3">
        <v>0.75</v>
      </c>
      <c r="F1396" t="b">
        <v>0</v>
      </c>
      <c r="G1396" s="3" t="s">
        <v>274</v>
      </c>
      <c r="H1396" s="3" t="s">
        <v>243</v>
      </c>
      <c r="I1396" t="b">
        <v>0</v>
      </c>
    </row>
    <row r="1397" spans="1:9" ht="15" hidden="1" customHeight="1" x14ac:dyDescent="0.2">
      <c r="A1397" s="3" t="s">
        <v>273</v>
      </c>
      <c r="B1397" s="5">
        <v>45216</v>
      </c>
      <c r="C1397" s="3">
        <v>0.625</v>
      </c>
      <c r="D1397" s="5">
        <v>45216</v>
      </c>
      <c r="E1397" s="3">
        <v>0.66666666666666663</v>
      </c>
      <c r="F1397" t="b">
        <v>0</v>
      </c>
      <c r="G1397" s="3" t="s">
        <v>274</v>
      </c>
      <c r="H1397" s="3" t="s">
        <v>243</v>
      </c>
      <c r="I1397" t="b">
        <v>0</v>
      </c>
    </row>
    <row r="1398" spans="1:9" ht="15" hidden="1" customHeight="1" x14ac:dyDescent="0.2">
      <c r="A1398" s="3" t="s">
        <v>273</v>
      </c>
      <c r="B1398" s="5">
        <v>45217</v>
      </c>
      <c r="C1398" s="3">
        <v>0.58333333333333337</v>
      </c>
      <c r="D1398" s="5">
        <v>45217</v>
      </c>
      <c r="E1398" s="3">
        <v>0.625</v>
      </c>
      <c r="F1398" t="b">
        <v>0</v>
      </c>
      <c r="G1398" s="3" t="s">
        <v>274</v>
      </c>
      <c r="H1398" s="3" t="s">
        <v>243</v>
      </c>
      <c r="I1398" t="b">
        <v>0</v>
      </c>
    </row>
    <row r="1399" spans="1:9" ht="15" hidden="1" customHeight="1" x14ac:dyDescent="0.2">
      <c r="A1399" s="3" t="s">
        <v>273</v>
      </c>
      <c r="B1399" s="5">
        <v>45218</v>
      </c>
      <c r="C1399" s="3">
        <v>0.70833333333333337</v>
      </c>
      <c r="D1399" s="5">
        <v>45218</v>
      </c>
      <c r="E1399" s="3">
        <v>0.75</v>
      </c>
      <c r="F1399" t="b">
        <v>0</v>
      </c>
      <c r="G1399" s="3" t="s">
        <v>274</v>
      </c>
      <c r="H1399" s="3" t="s">
        <v>243</v>
      </c>
      <c r="I1399" t="b">
        <v>0</v>
      </c>
    </row>
    <row r="1400" spans="1:9" ht="15" hidden="1" customHeight="1" x14ac:dyDescent="0.2">
      <c r="A1400" s="3" t="s">
        <v>273</v>
      </c>
      <c r="B1400" s="5">
        <v>45223</v>
      </c>
      <c r="C1400" s="3">
        <v>0.625</v>
      </c>
      <c r="D1400" s="5">
        <v>45223</v>
      </c>
      <c r="E1400" s="3">
        <v>0.66666666666666663</v>
      </c>
      <c r="F1400" t="b">
        <v>0</v>
      </c>
      <c r="G1400" s="3" t="s">
        <v>274</v>
      </c>
      <c r="H1400" s="3" t="s">
        <v>243</v>
      </c>
      <c r="I1400" t="b">
        <v>0</v>
      </c>
    </row>
    <row r="1401" spans="1:9" ht="15" hidden="1" customHeight="1" x14ac:dyDescent="0.2">
      <c r="A1401" s="3" t="s">
        <v>273</v>
      </c>
      <c r="B1401" s="5">
        <v>45224</v>
      </c>
      <c r="C1401" s="3">
        <v>0.58333333333333337</v>
      </c>
      <c r="D1401" s="5">
        <v>45224</v>
      </c>
      <c r="E1401" s="3">
        <v>0.625</v>
      </c>
      <c r="F1401" t="b">
        <v>0</v>
      </c>
      <c r="G1401" s="3" t="s">
        <v>274</v>
      </c>
      <c r="H1401" s="3" t="s">
        <v>243</v>
      </c>
      <c r="I1401" t="b">
        <v>0</v>
      </c>
    </row>
    <row r="1402" spans="1:9" ht="15" hidden="1" customHeight="1" x14ac:dyDescent="0.2">
      <c r="A1402" s="3" t="s">
        <v>273</v>
      </c>
      <c r="B1402" s="5">
        <v>45225</v>
      </c>
      <c r="C1402" s="3">
        <v>0.70833333333333337</v>
      </c>
      <c r="D1402" s="5">
        <v>45225</v>
      </c>
      <c r="E1402" s="3">
        <v>0.75</v>
      </c>
      <c r="F1402" t="b">
        <v>0</v>
      </c>
      <c r="G1402" s="3" t="s">
        <v>274</v>
      </c>
      <c r="H1402" s="3" t="s">
        <v>243</v>
      </c>
      <c r="I1402" t="b">
        <v>0</v>
      </c>
    </row>
    <row r="1403" spans="1:9" ht="15" hidden="1" customHeight="1" x14ac:dyDescent="0.2">
      <c r="A1403" s="3" t="s">
        <v>273</v>
      </c>
      <c r="B1403" s="5">
        <v>45230</v>
      </c>
      <c r="C1403" s="3">
        <v>0.625</v>
      </c>
      <c r="D1403" s="5">
        <v>45230</v>
      </c>
      <c r="E1403" s="3">
        <v>0.66666666666666663</v>
      </c>
      <c r="F1403" t="b">
        <v>0</v>
      </c>
      <c r="G1403" s="3" t="s">
        <v>274</v>
      </c>
      <c r="H1403" s="3" t="s">
        <v>243</v>
      </c>
      <c r="I1403" t="b">
        <v>0</v>
      </c>
    </row>
    <row r="1404" spans="1:9" ht="15" hidden="1" customHeight="1" x14ac:dyDescent="0.2">
      <c r="A1404" s="3" t="s">
        <v>273</v>
      </c>
      <c r="B1404" s="5">
        <v>45231</v>
      </c>
      <c r="C1404" s="3">
        <v>0.58333333333333337</v>
      </c>
      <c r="D1404" s="5">
        <v>45231</v>
      </c>
      <c r="E1404" s="3">
        <v>0.625</v>
      </c>
      <c r="F1404" t="b">
        <v>0</v>
      </c>
      <c r="G1404" s="3" t="s">
        <v>274</v>
      </c>
      <c r="H1404" s="3" t="s">
        <v>243</v>
      </c>
      <c r="I1404" t="b">
        <v>0</v>
      </c>
    </row>
    <row r="1405" spans="1:9" ht="15" hidden="1" customHeight="1" x14ac:dyDescent="0.2">
      <c r="A1405" s="3" t="s">
        <v>273</v>
      </c>
      <c r="B1405" s="5">
        <v>45232</v>
      </c>
      <c r="C1405" s="3">
        <v>0.70833333333333337</v>
      </c>
      <c r="D1405" s="5">
        <v>45232</v>
      </c>
      <c r="E1405" s="3">
        <v>0.75</v>
      </c>
      <c r="F1405" t="b">
        <v>0</v>
      </c>
      <c r="G1405" s="3" t="s">
        <v>274</v>
      </c>
      <c r="H1405" s="3" t="s">
        <v>243</v>
      </c>
      <c r="I1405" t="b">
        <v>0</v>
      </c>
    </row>
    <row r="1406" spans="1:9" ht="15" hidden="1" customHeight="1" x14ac:dyDescent="0.2">
      <c r="A1406" s="3" t="s">
        <v>273</v>
      </c>
      <c r="B1406" s="5">
        <v>45237</v>
      </c>
      <c r="C1406" s="3">
        <v>0.625</v>
      </c>
      <c r="D1406" s="5">
        <v>45237</v>
      </c>
      <c r="E1406" s="3">
        <v>0.66666666666666663</v>
      </c>
      <c r="F1406" t="b">
        <v>0</v>
      </c>
      <c r="G1406" s="3" t="s">
        <v>274</v>
      </c>
      <c r="H1406" s="3" t="s">
        <v>243</v>
      </c>
      <c r="I1406" t="b">
        <v>0</v>
      </c>
    </row>
    <row r="1407" spans="1:9" ht="15" hidden="1" customHeight="1" x14ac:dyDescent="0.2">
      <c r="A1407" s="3" t="s">
        <v>273</v>
      </c>
      <c r="B1407" s="5">
        <v>45238</v>
      </c>
      <c r="C1407" s="3">
        <v>0.58333333333333337</v>
      </c>
      <c r="D1407" s="5">
        <v>45238</v>
      </c>
      <c r="E1407" s="3">
        <v>0.625</v>
      </c>
      <c r="F1407" t="b">
        <v>0</v>
      </c>
      <c r="G1407" s="3" t="s">
        <v>274</v>
      </c>
      <c r="H1407" s="3" t="s">
        <v>243</v>
      </c>
      <c r="I1407" t="b">
        <v>0</v>
      </c>
    </row>
    <row r="1408" spans="1:9" ht="15" hidden="1" customHeight="1" x14ac:dyDescent="0.2">
      <c r="A1408" s="3" t="s">
        <v>273</v>
      </c>
      <c r="B1408" s="5">
        <v>45239</v>
      </c>
      <c r="C1408" s="3">
        <v>0.70833333333333337</v>
      </c>
      <c r="D1408" s="5">
        <v>45239</v>
      </c>
      <c r="E1408" s="3">
        <v>0.75</v>
      </c>
      <c r="F1408" t="b">
        <v>0</v>
      </c>
      <c r="G1408" s="3" t="s">
        <v>274</v>
      </c>
      <c r="H1408" s="3" t="s">
        <v>243</v>
      </c>
      <c r="I1408" t="b">
        <v>0</v>
      </c>
    </row>
    <row r="1409" spans="1:9" ht="15" hidden="1" customHeight="1" x14ac:dyDescent="0.2">
      <c r="A1409" s="6" t="s">
        <v>245</v>
      </c>
      <c r="B1409" s="5">
        <v>45195</v>
      </c>
      <c r="C1409" s="3">
        <v>0.35416666666666669</v>
      </c>
      <c r="D1409" s="5">
        <v>45195</v>
      </c>
      <c r="E1409" s="3">
        <v>0.39583333333333337</v>
      </c>
      <c r="F1409" t="b">
        <v>0</v>
      </c>
      <c r="G1409" s="6" t="s">
        <v>246</v>
      </c>
      <c r="H1409" t="s">
        <v>247</v>
      </c>
      <c r="I1409" t="b">
        <v>0</v>
      </c>
    </row>
    <row r="1410" spans="1:9" ht="15" hidden="1" customHeight="1" x14ac:dyDescent="0.2">
      <c r="A1410" s="6" t="s">
        <v>245</v>
      </c>
      <c r="B1410" s="5">
        <v>45197</v>
      </c>
      <c r="C1410" s="3">
        <v>0.47916666666666669</v>
      </c>
      <c r="D1410" s="5">
        <v>45197</v>
      </c>
      <c r="E1410" s="3">
        <v>0.52083333333333337</v>
      </c>
      <c r="F1410" t="b">
        <v>0</v>
      </c>
      <c r="G1410" s="6" t="s">
        <v>246</v>
      </c>
      <c r="H1410" t="s">
        <v>247</v>
      </c>
      <c r="I1410" t="b">
        <v>0</v>
      </c>
    </row>
    <row r="1411" spans="1:9" ht="15" hidden="1" customHeight="1" x14ac:dyDescent="0.2">
      <c r="A1411" s="6" t="s">
        <v>245</v>
      </c>
      <c r="B1411" s="5">
        <v>45198</v>
      </c>
      <c r="C1411" s="3">
        <v>0.625</v>
      </c>
      <c r="D1411" s="5">
        <v>45198</v>
      </c>
      <c r="E1411" s="3">
        <v>0.66666666666666663</v>
      </c>
      <c r="F1411" t="b">
        <v>0</v>
      </c>
      <c r="G1411" s="6" t="s">
        <v>246</v>
      </c>
      <c r="H1411" t="s">
        <v>247</v>
      </c>
      <c r="I1411" t="b">
        <v>0</v>
      </c>
    </row>
    <row r="1412" spans="1:9" ht="15" hidden="1" customHeight="1" x14ac:dyDescent="0.2">
      <c r="A1412" s="3" t="s">
        <v>245</v>
      </c>
      <c r="B1412" s="5">
        <v>45202</v>
      </c>
      <c r="C1412" s="3">
        <v>0.35416666666666669</v>
      </c>
      <c r="D1412" s="5">
        <v>45202</v>
      </c>
      <c r="E1412" s="3">
        <v>0.39583333333333337</v>
      </c>
      <c r="F1412" t="b">
        <v>0</v>
      </c>
      <c r="G1412" s="3" t="s">
        <v>246</v>
      </c>
      <c r="H1412" s="3" t="s">
        <v>247</v>
      </c>
      <c r="I1412" t="b">
        <v>0</v>
      </c>
    </row>
    <row r="1413" spans="1:9" ht="15" hidden="1" customHeight="1" x14ac:dyDescent="0.2">
      <c r="A1413" s="3" t="s">
        <v>245</v>
      </c>
      <c r="B1413" s="5">
        <v>45204</v>
      </c>
      <c r="C1413" s="3">
        <v>0.47916666666666669</v>
      </c>
      <c r="D1413" s="5">
        <v>45204</v>
      </c>
      <c r="E1413" s="3">
        <v>0.52083333333333337</v>
      </c>
      <c r="F1413" t="b">
        <v>0</v>
      </c>
      <c r="G1413" s="3" t="s">
        <v>246</v>
      </c>
      <c r="H1413" s="3" t="s">
        <v>247</v>
      </c>
      <c r="I1413" t="b">
        <v>0</v>
      </c>
    </row>
    <row r="1414" spans="1:9" ht="15" hidden="1" customHeight="1" x14ac:dyDescent="0.2">
      <c r="A1414" s="3" t="s">
        <v>245</v>
      </c>
      <c r="B1414" s="5">
        <v>45205</v>
      </c>
      <c r="C1414" s="3">
        <v>0.625</v>
      </c>
      <c r="D1414" s="5">
        <v>45205</v>
      </c>
      <c r="E1414" s="3">
        <v>0.66666666666666663</v>
      </c>
      <c r="F1414" t="b">
        <v>0</v>
      </c>
      <c r="G1414" s="3" t="s">
        <v>246</v>
      </c>
      <c r="H1414" s="3" t="s">
        <v>247</v>
      </c>
      <c r="I1414" t="b">
        <v>0</v>
      </c>
    </row>
    <row r="1415" spans="1:9" ht="15" hidden="1" customHeight="1" x14ac:dyDescent="0.2">
      <c r="A1415" s="3" t="s">
        <v>245</v>
      </c>
      <c r="B1415" s="5">
        <v>45209</v>
      </c>
      <c r="C1415" s="3">
        <v>0.35416666666666669</v>
      </c>
      <c r="D1415" s="5">
        <v>45209</v>
      </c>
      <c r="E1415" s="3">
        <v>0.39583333333333337</v>
      </c>
      <c r="F1415" t="b">
        <v>0</v>
      </c>
      <c r="G1415" s="3" t="s">
        <v>246</v>
      </c>
      <c r="H1415" s="3" t="s">
        <v>247</v>
      </c>
      <c r="I1415" t="b">
        <v>0</v>
      </c>
    </row>
    <row r="1416" spans="1:9" ht="15" hidden="1" customHeight="1" x14ac:dyDescent="0.2">
      <c r="A1416" s="3" t="s">
        <v>245</v>
      </c>
      <c r="B1416" s="5">
        <v>45211</v>
      </c>
      <c r="C1416" s="3">
        <v>0.47916666666666669</v>
      </c>
      <c r="D1416" s="5">
        <v>45211</v>
      </c>
      <c r="E1416" s="3">
        <v>0.52083333333333337</v>
      </c>
      <c r="F1416" t="b">
        <v>0</v>
      </c>
      <c r="G1416" s="3" t="s">
        <v>246</v>
      </c>
      <c r="H1416" s="3" t="s">
        <v>247</v>
      </c>
      <c r="I1416" t="b">
        <v>0</v>
      </c>
    </row>
    <row r="1417" spans="1:9" ht="15" hidden="1" customHeight="1" x14ac:dyDescent="0.2">
      <c r="A1417" s="3" t="s">
        <v>245</v>
      </c>
      <c r="B1417" s="5">
        <v>45212</v>
      </c>
      <c r="C1417" s="3">
        <v>0.625</v>
      </c>
      <c r="D1417" s="5">
        <v>45212</v>
      </c>
      <c r="E1417" s="3">
        <v>0.66666666666666663</v>
      </c>
      <c r="F1417" t="b">
        <v>0</v>
      </c>
      <c r="G1417" s="3" t="s">
        <v>246</v>
      </c>
      <c r="H1417" s="3" t="s">
        <v>247</v>
      </c>
      <c r="I1417" t="b">
        <v>0</v>
      </c>
    </row>
    <row r="1418" spans="1:9" ht="15" hidden="1" customHeight="1" x14ac:dyDescent="0.2">
      <c r="A1418" s="3" t="s">
        <v>245</v>
      </c>
      <c r="B1418" s="5">
        <v>45216</v>
      </c>
      <c r="C1418" s="3">
        <v>0.35416666666666669</v>
      </c>
      <c r="D1418" s="5">
        <v>45216</v>
      </c>
      <c r="E1418" s="3">
        <v>0.39583333333333337</v>
      </c>
      <c r="F1418" t="b">
        <v>0</v>
      </c>
      <c r="G1418" s="3" t="s">
        <v>246</v>
      </c>
      <c r="H1418" s="3" t="s">
        <v>247</v>
      </c>
      <c r="I1418" t="b">
        <v>0</v>
      </c>
    </row>
    <row r="1419" spans="1:9" ht="15" hidden="1" customHeight="1" x14ac:dyDescent="0.2">
      <c r="A1419" s="3" t="s">
        <v>245</v>
      </c>
      <c r="B1419" s="5">
        <v>45218</v>
      </c>
      <c r="C1419" s="3">
        <v>0.47916666666666669</v>
      </c>
      <c r="D1419" s="5">
        <v>45218</v>
      </c>
      <c r="E1419" s="3">
        <v>0.52083333333333337</v>
      </c>
      <c r="F1419" t="b">
        <v>0</v>
      </c>
      <c r="G1419" s="3" t="s">
        <v>246</v>
      </c>
      <c r="H1419" s="3" t="s">
        <v>247</v>
      </c>
      <c r="I1419" t="b">
        <v>0</v>
      </c>
    </row>
    <row r="1420" spans="1:9" ht="15" hidden="1" customHeight="1" x14ac:dyDescent="0.2">
      <c r="A1420" s="3" t="s">
        <v>245</v>
      </c>
      <c r="B1420" s="5">
        <v>45219</v>
      </c>
      <c r="C1420" s="3">
        <v>0.625</v>
      </c>
      <c r="D1420" s="5">
        <v>45219</v>
      </c>
      <c r="E1420" s="3">
        <v>0.66666666666666663</v>
      </c>
      <c r="F1420" t="b">
        <v>0</v>
      </c>
      <c r="G1420" s="3" t="s">
        <v>246</v>
      </c>
      <c r="H1420" s="3" t="s">
        <v>247</v>
      </c>
      <c r="I1420" t="b">
        <v>0</v>
      </c>
    </row>
    <row r="1421" spans="1:9" ht="15" hidden="1" customHeight="1" x14ac:dyDescent="0.2">
      <c r="A1421" s="3" t="s">
        <v>245</v>
      </c>
      <c r="B1421" s="5">
        <v>45223</v>
      </c>
      <c r="C1421" s="3">
        <v>0.35416666666666669</v>
      </c>
      <c r="D1421" s="5">
        <v>45223</v>
      </c>
      <c r="E1421" s="3">
        <v>0.39583333333333337</v>
      </c>
      <c r="F1421" t="b">
        <v>0</v>
      </c>
      <c r="G1421" s="3" t="s">
        <v>246</v>
      </c>
      <c r="H1421" s="3" t="s">
        <v>247</v>
      </c>
      <c r="I1421" t="b">
        <v>0</v>
      </c>
    </row>
    <row r="1422" spans="1:9" ht="15" hidden="1" customHeight="1" x14ac:dyDescent="0.2">
      <c r="A1422" s="3" t="s">
        <v>245</v>
      </c>
      <c r="B1422" s="5">
        <v>45225</v>
      </c>
      <c r="C1422" s="3">
        <v>0.47916666666666669</v>
      </c>
      <c r="D1422" s="5">
        <v>45225</v>
      </c>
      <c r="E1422" s="3">
        <v>0.52083333333333337</v>
      </c>
      <c r="F1422" t="b">
        <v>0</v>
      </c>
      <c r="G1422" s="3" t="s">
        <v>246</v>
      </c>
      <c r="H1422" s="3" t="s">
        <v>247</v>
      </c>
      <c r="I1422" t="b">
        <v>0</v>
      </c>
    </row>
    <row r="1423" spans="1:9" ht="15" hidden="1" customHeight="1" x14ac:dyDescent="0.2">
      <c r="A1423" s="3" t="s">
        <v>245</v>
      </c>
      <c r="B1423" s="5">
        <v>45226</v>
      </c>
      <c r="C1423" s="3">
        <v>0.625</v>
      </c>
      <c r="D1423" s="5">
        <v>45226</v>
      </c>
      <c r="E1423" s="3">
        <v>0.66666666666666663</v>
      </c>
      <c r="F1423" t="b">
        <v>0</v>
      </c>
      <c r="G1423" s="3" t="s">
        <v>246</v>
      </c>
      <c r="H1423" s="3" t="s">
        <v>247</v>
      </c>
      <c r="I1423" t="b">
        <v>0</v>
      </c>
    </row>
    <row r="1424" spans="1:9" ht="15" hidden="1" customHeight="1" x14ac:dyDescent="0.2">
      <c r="A1424" s="3" t="s">
        <v>245</v>
      </c>
      <c r="B1424" s="5">
        <v>45230</v>
      </c>
      <c r="C1424" s="3">
        <v>0.35416666666666669</v>
      </c>
      <c r="D1424" s="5">
        <v>45230</v>
      </c>
      <c r="E1424" s="3">
        <v>0.39583333333333337</v>
      </c>
      <c r="F1424" t="b">
        <v>0</v>
      </c>
      <c r="G1424" s="3" t="s">
        <v>246</v>
      </c>
      <c r="H1424" s="3" t="s">
        <v>247</v>
      </c>
      <c r="I1424" t="b">
        <v>0</v>
      </c>
    </row>
    <row r="1425" spans="1:9" ht="15" hidden="1" customHeight="1" x14ac:dyDescent="0.2">
      <c r="A1425" s="3" t="s">
        <v>245</v>
      </c>
      <c r="B1425" s="5">
        <v>45232</v>
      </c>
      <c r="C1425" s="3">
        <v>0.47916666666666669</v>
      </c>
      <c r="D1425" s="5">
        <v>45232</v>
      </c>
      <c r="E1425" s="3">
        <v>0.52083333333333337</v>
      </c>
      <c r="F1425" t="b">
        <v>0</v>
      </c>
      <c r="G1425" s="3" t="s">
        <v>246</v>
      </c>
      <c r="H1425" s="3" t="s">
        <v>247</v>
      </c>
      <c r="I1425" t="b">
        <v>0</v>
      </c>
    </row>
    <row r="1426" spans="1:9" ht="15" hidden="1" customHeight="1" x14ac:dyDescent="0.2">
      <c r="A1426" s="3" t="s">
        <v>245</v>
      </c>
      <c r="B1426" s="5">
        <v>45233</v>
      </c>
      <c r="C1426" s="3">
        <v>0.625</v>
      </c>
      <c r="D1426" s="5">
        <v>45233</v>
      </c>
      <c r="E1426" s="3">
        <v>0.66666666666666663</v>
      </c>
      <c r="F1426" t="b">
        <v>0</v>
      </c>
      <c r="G1426" s="3" t="s">
        <v>246</v>
      </c>
      <c r="H1426" s="3" t="s">
        <v>247</v>
      </c>
      <c r="I1426" t="b">
        <v>0</v>
      </c>
    </row>
    <row r="1427" spans="1:9" ht="15" hidden="1" customHeight="1" x14ac:dyDescent="0.2">
      <c r="A1427" s="3" t="s">
        <v>245</v>
      </c>
      <c r="B1427" s="5">
        <v>45237</v>
      </c>
      <c r="C1427" s="3">
        <v>0.35416666666666669</v>
      </c>
      <c r="D1427" s="5">
        <v>45237</v>
      </c>
      <c r="E1427" s="3">
        <v>0.39583333333333337</v>
      </c>
      <c r="F1427" t="b">
        <v>0</v>
      </c>
      <c r="G1427" s="3" t="s">
        <v>246</v>
      </c>
      <c r="H1427" s="3" t="s">
        <v>247</v>
      </c>
      <c r="I1427" t="b">
        <v>0</v>
      </c>
    </row>
    <row r="1428" spans="1:9" ht="15" hidden="1" customHeight="1" x14ac:dyDescent="0.2">
      <c r="A1428" s="3" t="s">
        <v>245</v>
      </c>
      <c r="B1428" s="5">
        <v>45239</v>
      </c>
      <c r="C1428" s="3">
        <v>0.47916666666666669</v>
      </c>
      <c r="D1428" s="5">
        <v>45239</v>
      </c>
      <c r="E1428" s="3">
        <v>0.52083333333333337</v>
      </c>
      <c r="F1428" t="b">
        <v>0</v>
      </c>
      <c r="G1428" s="3" t="s">
        <v>246</v>
      </c>
      <c r="H1428" s="3" t="s">
        <v>247</v>
      </c>
      <c r="I1428" t="b">
        <v>0</v>
      </c>
    </row>
    <row r="1429" spans="1:9" ht="15" hidden="1" customHeight="1" x14ac:dyDescent="0.2">
      <c r="A1429" s="3" t="s">
        <v>245</v>
      </c>
      <c r="B1429" s="5">
        <v>45240</v>
      </c>
      <c r="C1429" s="3">
        <v>0.625</v>
      </c>
      <c r="D1429" s="5">
        <v>45240</v>
      </c>
      <c r="E1429" s="3">
        <v>0.66666666666666663</v>
      </c>
      <c r="F1429" t="b">
        <v>0</v>
      </c>
      <c r="G1429" s="3" t="s">
        <v>246</v>
      </c>
      <c r="H1429" s="3" t="s">
        <v>247</v>
      </c>
      <c r="I1429" t="b">
        <v>0</v>
      </c>
    </row>
    <row r="1430" spans="1:9" ht="15" hidden="1" customHeight="1" x14ac:dyDescent="0.2">
      <c r="A1430" s="6" t="s">
        <v>261</v>
      </c>
      <c r="B1430" s="5">
        <v>45194</v>
      </c>
      <c r="C1430" s="3">
        <v>0.625</v>
      </c>
      <c r="D1430" s="5">
        <v>45194</v>
      </c>
      <c r="E1430" s="3">
        <v>0.66666666666666663</v>
      </c>
      <c r="F1430" t="b">
        <v>0</v>
      </c>
      <c r="G1430" s="6" t="s">
        <v>262</v>
      </c>
      <c r="H1430" t="s">
        <v>244</v>
      </c>
      <c r="I1430" t="b">
        <v>0</v>
      </c>
    </row>
    <row r="1431" spans="1:9" ht="15" hidden="1" customHeight="1" x14ac:dyDescent="0.2">
      <c r="A1431" s="6" t="s">
        <v>265</v>
      </c>
      <c r="B1431" s="5">
        <v>45196</v>
      </c>
      <c r="C1431" s="3">
        <v>0.66666666666666663</v>
      </c>
      <c r="D1431" s="5">
        <v>45196</v>
      </c>
      <c r="E1431" s="3">
        <v>0.70833333333333326</v>
      </c>
      <c r="F1431" t="b">
        <v>0</v>
      </c>
      <c r="G1431" s="7" t="s">
        <v>266</v>
      </c>
      <c r="H1431" t="s">
        <v>247</v>
      </c>
      <c r="I1431" t="b">
        <v>0</v>
      </c>
    </row>
    <row r="1432" spans="1:9" ht="15" hidden="1" customHeight="1" x14ac:dyDescent="0.2">
      <c r="A1432" s="6" t="s">
        <v>265</v>
      </c>
      <c r="B1432" s="5">
        <v>45198</v>
      </c>
      <c r="C1432" s="3">
        <v>0.58333333333333337</v>
      </c>
      <c r="D1432" s="5">
        <v>45198</v>
      </c>
      <c r="E1432" s="3">
        <v>0.625</v>
      </c>
      <c r="F1432" t="b">
        <v>0</v>
      </c>
      <c r="G1432" s="7" t="s">
        <v>266</v>
      </c>
      <c r="H1432" t="s">
        <v>247</v>
      </c>
      <c r="I1432" t="b">
        <v>0</v>
      </c>
    </row>
    <row r="1433" spans="1:9" ht="15" hidden="1" customHeight="1" x14ac:dyDescent="0.2">
      <c r="A1433" s="3" t="s">
        <v>265</v>
      </c>
      <c r="B1433" s="5">
        <v>45201</v>
      </c>
      <c r="C1433" s="3">
        <v>0.70833333333333337</v>
      </c>
      <c r="D1433" s="5">
        <v>45201</v>
      </c>
      <c r="E1433" s="3">
        <v>0.75</v>
      </c>
      <c r="F1433" t="b">
        <v>0</v>
      </c>
      <c r="G1433" s="3" t="s">
        <v>266</v>
      </c>
      <c r="H1433" s="3" t="s">
        <v>247</v>
      </c>
      <c r="I1433" t="b">
        <v>0</v>
      </c>
    </row>
    <row r="1434" spans="1:9" ht="15" hidden="1" customHeight="1" x14ac:dyDescent="0.2">
      <c r="A1434" s="3" t="s">
        <v>265</v>
      </c>
      <c r="B1434" s="5">
        <v>45203</v>
      </c>
      <c r="C1434" s="3">
        <v>0.66666666666666663</v>
      </c>
      <c r="D1434" s="5">
        <v>45203</v>
      </c>
      <c r="E1434" s="3">
        <v>0.70833333333333326</v>
      </c>
      <c r="F1434" t="b">
        <v>0</v>
      </c>
      <c r="G1434" s="3" t="s">
        <v>266</v>
      </c>
      <c r="H1434" s="3" t="s">
        <v>247</v>
      </c>
      <c r="I1434" t="b">
        <v>0</v>
      </c>
    </row>
    <row r="1435" spans="1:9" ht="15" hidden="1" customHeight="1" x14ac:dyDescent="0.2">
      <c r="A1435" s="3" t="s">
        <v>265</v>
      </c>
      <c r="B1435" s="5">
        <v>45205</v>
      </c>
      <c r="C1435" s="3">
        <v>0.58333333333333337</v>
      </c>
      <c r="D1435" s="5">
        <v>45205</v>
      </c>
      <c r="E1435" s="3">
        <v>0.625</v>
      </c>
      <c r="F1435" t="b">
        <v>0</v>
      </c>
      <c r="G1435" s="3" t="s">
        <v>266</v>
      </c>
      <c r="H1435" s="3" t="s">
        <v>247</v>
      </c>
      <c r="I1435" t="b">
        <v>0</v>
      </c>
    </row>
    <row r="1436" spans="1:9" ht="15" hidden="1" customHeight="1" x14ac:dyDescent="0.2">
      <c r="A1436" s="3" t="s">
        <v>265</v>
      </c>
      <c r="B1436" s="5">
        <v>45208</v>
      </c>
      <c r="C1436" s="3">
        <v>0.70833333333333337</v>
      </c>
      <c r="D1436" s="5">
        <v>45208</v>
      </c>
      <c r="E1436" s="3">
        <v>0.75</v>
      </c>
      <c r="F1436" t="b">
        <v>0</v>
      </c>
      <c r="G1436" s="3" t="s">
        <v>266</v>
      </c>
      <c r="H1436" s="3" t="s">
        <v>247</v>
      </c>
      <c r="I1436" t="b">
        <v>0</v>
      </c>
    </row>
    <row r="1437" spans="1:9" ht="15" hidden="1" customHeight="1" x14ac:dyDescent="0.2">
      <c r="A1437" s="3" t="s">
        <v>265</v>
      </c>
      <c r="B1437" s="5">
        <v>45210</v>
      </c>
      <c r="C1437" s="3">
        <v>0.66666666666666663</v>
      </c>
      <c r="D1437" s="5">
        <v>45210</v>
      </c>
      <c r="E1437" s="3">
        <v>0.70833333333333326</v>
      </c>
      <c r="F1437" t="b">
        <v>0</v>
      </c>
      <c r="G1437" s="3" t="s">
        <v>266</v>
      </c>
      <c r="H1437" s="3" t="s">
        <v>247</v>
      </c>
      <c r="I1437" t="b">
        <v>0</v>
      </c>
    </row>
    <row r="1438" spans="1:9" ht="15" hidden="1" customHeight="1" x14ac:dyDescent="0.2">
      <c r="A1438" s="3" t="s">
        <v>265</v>
      </c>
      <c r="B1438" s="5">
        <v>45212</v>
      </c>
      <c r="C1438" s="3">
        <v>0.58333333333333337</v>
      </c>
      <c r="D1438" s="5">
        <v>45212</v>
      </c>
      <c r="E1438" s="3">
        <v>0.625</v>
      </c>
      <c r="F1438" t="b">
        <v>0</v>
      </c>
      <c r="G1438" s="3" t="s">
        <v>266</v>
      </c>
      <c r="H1438" s="3" t="s">
        <v>247</v>
      </c>
      <c r="I1438" t="b">
        <v>0</v>
      </c>
    </row>
    <row r="1439" spans="1:9" ht="15" hidden="1" customHeight="1" x14ac:dyDescent="0.2">
      <c r="A1439" s="3" t="s">
        <v>265</v>
      </c>
      <c r="B1439" s="5">
        <v>45215</v>
      </c>
      <c r="C1439" s="3">
        <v>0.70833333333333337</v>
      </c>
      <c r="D1439" s="5">
        <v>45215</v>
      </c>
      <c r="E1439" s="3">
        <v>0.75</v>
      </c>
      <c r="F1439" t="b">
        <v>0</v>
      </c>
      <c r="G1439" s="3" t="s">
        <v>266</v>
      </c>
      <c r="H1439" s="3" t="s">
        <v>247</v>
      </c>
      <c r="I1439" t="b">
        <v>0</v>
      </c>
    </row>
    <row r="1440" spans="1:9" ht="15" hidden="1" customHeight="1" x14ac:dyDescent="0.2">
      <c r="A1440" s="3" t="s">
        <v>265</v>
      </c>
      <c r="B1440" s="5">
        <v>45217</v>
      </c>
      <c r="C1440" s="3">
        <v>0.66666666666666663</v>
      </c>
      <c r="D1440" s="5">
        <v>45217</v>
      </c>
      <c r="E1440" s="3">
        <v>0.70833333333333326</v>
      </c>
      <c r="F1440" t="b">
        <v>0</v>
      </c>
      <c r="G1440" s="3" t="s">
        <v>266</v>
      </c>
      <c r="H1440" s="3" t="s">
        <v>247</v>
      </c>
      <c r="I1440" t="b">
        <v>0</v>
      </c>
    </row>
    <row r="1441" spans="1:9" ht="15" hidden="1" customHeight="1" x14ac:dyDescent="0.2">
      <c r="A1441" s="3" t="s">
        <v>265</v>
      </c>
      <c r="B1441" s="5">
        <v>45219</v>
      </c>
      <c r="C1441" s="3">
        <v>0.58333333333333337</v>
      </c>
      <c r="D1441" s="5">
        <v>45219</v>
      </c>
      <c r="E1441" s="3">
        <v>0.625</v>
      </c>
      <c r="F1441" t="b">
        <v>0</v>
      </c>
      <c r="G1441" s="3" t="s">
        <v>266</v>
      </c>
      <c r="H1441" s="3" t="s">
        <v>247</v>
      </c>
      <c r="I1441" t="b">
        <v>0</v>
      </c>
    </row>
    <row r="1442" spans="1:9" ht="15" hidden="1" customHeight="1" x14ac:dyDescent="0.2">
      <c r="A1442" s="3" t="s">
        <v>265</v>
      </c>
      <c r="B1442" s="5">
        <v>45222</v>
      </c>
      <c r="C1442" s="3">
        <v>0.70833333333333337</v>
      </c>
      <c r="D1442" s="5">
        <v>45222</v>
      </c>
      <c r="E1442" s="3">
        <v>0.75</v>
      </c>
      <c r="F1442" t="b">
        <v>0</v>
      </c>
      <c r="G1442" s="3" t="s">
        <v>266</v>
      </c>
      <c r="H1442" s="3" t="s">
        <v>247</v>
      </c>
      <c r="I1442" t="b">
        <v>0</v>
      </c>
    </row>
    <row r="1443" spans="1:9" ht="15" hidden="1" customHeight="1" x14ac:dyDescent="0.2">
      <c r="A1443" s="3" t="s">
        <v>265</v>
      </c>
      <c r="B1443" s="5">
        <v>45224</v>
      </c>
      <c r="C1443" s="3">
        <v>0.66666666666666663</v>
      </c>
      <c r="D1443" s="5">
        <v>45224</v>
      </c>
      <c r="E1443" s="3">
        <v>0.70833333333333326</v>
      </c>
      <c r="F1443" t="b">
        <v>0</v>
      </c>
      <c r="G1443" s="3" t="s">
        <v>266</v>
      </c>
      <c r="H1443" s="3" t="s">
        <v>247</v>
      </c>
      <c r="I1443" t="b">
        <v>0</v>
      </c>
    </row>
    <row r="1444" spans="1:9" ht="15" hidden="1" customHeight="1" x14ac:dyDescent="0.2">
      <c r="A1444" s="3" t="s">
        <v>265</v>
      </c>
      <c r="B1444" s="5">
        <v>45226</v>
      </c>
      <c r="C1444" s="3">
        <v>0.58333333333333337</v>
      </c>
      <c r="D1444" s="5">
        <v>45226</v>
      </c>
      <c r="E1444" s="3">
        <v>0.625</v>
      </c>
      <c r="F1444" t="b">
        <v>0</v>
      </c>
      <c r="G1444" s="3" t="s">
        <v>266</v>
      </c>
      <c r="H1444" s="3" t="s">
        <v>247</v>
      </c>
      <c r="I1444" t="b">
        <v>0</v>
      </c>
    </row>
    <row r="1445" spans="1:9" ht="15" hidden="1" customHeight="1" x14ac:dyDescent="0.2">
      <c r="A1445" s="3" t="s">
        <v>265</v>
      </c>
      <c r="B1445" s="5">
        <v>45229</v>
      </c>
      <c r="C1445" s="3">
        <v>0.70833333333333337</v>
      </c>
      <c r="D1445" s="5">
        <v>45229</v>
      </c>
      <c r="E1445" s="3">
        <v>0.75</v>
      </c>
      <c r="F1445" t="b">
        <v>0</v>
      </c>
      <c r="G1445" s="3" t="s">
        <v>266</v>
      </c>
      <c r="H1445" s="3" t="s">
        <v>247</v>
      </c>
      <c r="I1445" t="b">
        <v>0</v>
      </c>
    </row>
    <row r="1446" spans="1:9" ht="15" hidden="1" customHeight="1" x14ac:dyDescent="0.2">
      <c r="A1446" s="3" t="s">
        <v>265</v>
      </c>
      <c r="B1446" s="5">
        <v>45231</v>
      </c>
      <c r="C1446" s="3">
        <v>0.66666666666666663</v>
      </c>
      <c r="D1446" s="5">
        <v>45231</v>
      </c>
      <c r="E1446" s="3">
        <v>0.70833333333333326</v>
      </c>
      <c r="F1446" t="b">
        <v>0</v>
      </c>
      <c r="G1446" s="3" t="s">
        <v>266</v>
      </c>
      <c r="H1446" s="3" t="s">
        <v>247</v>
      </c>
      <c r="I1446" t="b">
        <v>0</v>
      </c>
    </row>
    <row r="1447" spans="1:9" ht="15" hidden="1" customHeight="1" x14ac:dyDescent="0.2">
      <c r="A1447" s="3" t="s">
        <v>265</v>
      </c>
      <c r="B1447" s="5">
        <v>45233</v>
      </c>
      <c r="C1447" s="3">
        <v>0.58333333333333337</v>
      </c>
      <c r="D1447" s="5">
        <v>45233</v>
      </c>
      <c r="E1447" s="3">
        <v>0.625</v>
      </c>
      <c r="F1447" t="b">
        <v>0</v>
      </c>
      <c r="G1447" s="3" t="s">
        <v>266</v>
      </c>
      <c r="H1447" s="3" t="s">
        <v>247</v>
      </c>
      <c r="I1447" t="b">
        <v>0</v>
      </c>
    </row>
    <row r="1448" spans="1:9" ht="15" hidden="1" customHeight="1" x14ac:dyDescent="0.2">
      <c r="A1448" s="3" t="s">
        <v>265</v>
      </c>
      <c r="B1448" s="5">
        <v>45236</v>
      </c>
      <c r="C1448" s="3">
        <v>0.70833333333333337</v>
      </c>
      <c r="D1448" s="5">
        <v>45236</v>
      </c>
      <c r="E1448" s="3">
        <v>0.75</v>
      </c>
      <c r="F1448" t="b">
        <v>0</v>
      </c>
      <c r="G1448" s="3" t="s">
        <v>266</v>
      </c>
      <c r="H1448" s="3" t="s">
        <v>247</v>
      </c>
      <c r="I1448" t="b">
        <v>0</v>
      </c>
    </row>
    <row r="1449" spans="1:9" ht="15" hidden="1" customHeight="1" x14ac:dyDescent="0.2">
      <c r="A1449" s="3" t="s">
        <v>265</v>
      </c>
      <c r="B1449" s="5">
        <v>45238</v>
      </c>
      <c r="C1449" s="3">
        <v>0.66666666666666663</v>
      </c>
      <c r="D1449" s="5">
        <v>45238</v>
      </c>
      <c r="E1449" s="3">
        <v>0.70833333333333326</v>
      </c>
      <c r="F1449" t="b">
        <v>0</v>
      </c>
      <c r="G1449" s="3" t="s">
        <v>266</v>
      </c>
      <c r="H1449" s="3" t="s">
        <v>247</v>
      </c>
      <c r="I1449" t="b">
        <v>0</v>
      </c>
    </row>
    <row r="1450" spans="1:9" ht="15" hidden="1" customHeight="1" x14ac:dyDescent="0.2">
      <c r="A1450" s="3" t="s">
        <v>265</v>
      </c>
      <c r="B1450" s="5">
        <v>45240</v>
      </c>
      <c r="C1450" s="3">
        <v>0.58333333333333337</v>
      </c>
      <c r="D1450" s="5">
        <v>45240</v>
      </c>
      <c r="E1450" s="3">
        <v>0.625</v>
      </c>
      <c r="F1450" t="b">
        <v>0</v>
      </c>
      <c r="G1450" s="3" t="s">
        <v>266</v>
      </c>
      <c r="H1450" s="3" t="s">
        <v>247</v>
      </c>
      <c r="I1450" t="b">
        <v>0</v>
      </c>
    </row>
    <row r="1451" spans="1:9" ht="15" hidden="1" customHeight="1" x14ac:dyDescent="0.2">
      <c r="A1451" s="6" t="s">
        <v>275</v>
      </c>
      <c r="B1451" s="10">
        <v>45195</v>
      </c>
      <c r="C1451" s="3">
        <v>0.625</v>
      </c>
      <c r="D1451" s="5">
        <v>45195</v>
      </c>
      <c r="E1451" s="3">
        <v>0.66666666666666663</v>
      </c>
      <c r="F1451" t="b">
        <v>0</v>
      </c>
      <c r="G1451" s="7" t="s">
        <v>276</v>
      </c>
      <c r="H1451" t="s">
        <v>247</v>
      </c>
      <c r="I1451" t="b">
        <v>0</v>
      </c>
    </row>
    <row r="1452" spans="1:9" ht="15" hidden="1" customHeight="1" x14ac:dyDescent="0.2">
      <c r="A1452" s="6" t="s">
        <v>275</v>
      </c>
      <c r="B1452" s="5">
        <v>45196</v>
      </c>
      <c r="C1452" s="3">
        <v>0.58333333333333337</v>
      </c>
      <c r="D1452" s="5">
        <v>45196</v>
      </c>
      <c r="E1452" s="3">
        <v>0.625</v>
      </c>
      <c r="F1452" t="b">
        <v>0</v>
      </c>
      <c r="G1452" s="8" t="s">
        <v>276</v>
      </c>
      <c r="H1452" t="s">
        <v>247</v>
      </c>
      <c r="I1452" t="b">
        <v>0</v>
      </c>
    </row>
    <row r="1453" spans="1:9" ht="15" hidden="1" customHeight="1" x14ac:dyDescent="0.2">
      <c r="A1453" s="6" t="s">
        <v>275</v>
      </c>
      <c r="B1453" s="5">
        <v>45197</v>
      </c>
      <c r="C1453" s="3">
        <v>0.70833333333333337</v>
      </c>
      <c r="D1453" s="5">
        <v>45197</v>
      </c>
      <c r="E1453" s="3">
        <v>0.75</v>
      </c>
      <c r="F1453" t="b">
        <v>0</v>
      </c>
      <c r="G1453" s="8" t="s">
        <v>276</v>
      </c>
      <c r="H1453" t="s">
        <v>247</v>
      </c>
      <c r="I1453" t="b">
        <v>0</v>
      </c>
    </row>
    <row r="1454" spans="1:9" ht="15" hidden="1" customHeight="1" x14ac:dyDescent="0.2">
      <c r="A1454" s="3" t="s">
        <v>275</v>
      </c>
      <c r="B1454" s="5">
        <v>45202</v>
      </c>
      <c r="C1454" s="3">
        <v>0.625</v>
      </c>
      <c r="D1454" s="5">
        <v>45202</v>
      </c>
      <c r="E1454" s="3">
        <v>0.66666666666666663</v>
      </c>
      <c r="F1454" t="b">
        <v>0</v>
      </c>
      <c r="G1454" s="3" t="s">
        <v>276</v>
      </c>
      <c r="H1454" s="3" t="s">
        <v>247</v>
      </c>
      <c r="I1454" t="b">
        <v>0</v>
      </c>
    </row>
    <row r="1455" spans="1:9" ht="15" hidden="1" customHeight="1" x14ac:dyDescent="0.2">
      <c r="A1455" s="3" t="s">
        <v>275</v>
      </c>
      <c r="B1455" s="5">
        <v>45203</v>
      </c>
      <c r="C1455" s="3">
        <v>0.58333333333333337</v>
      </c>
      <c r="D1455" s="5">
        <v>45203</v>
      </c>
      <c r="E1455" s="3">
        <v>0.625</v>
      </c>
      <c r="F1455" t="b">
        <v>0</v>
      </c>
      <c r="G1455" s="3" t="s">
        <v>276</v>
      </c>
      <c r="H1455" s="3" t="s">
        <v>247</v>
      </c>
      <c r="I1455" t="b">
        <v>0</v>
      </c>
    </row>
    <row r="1456" spans="1:9" ht="15" hidden="1" customHeight="1" x14ac:dyDescent="0.2">
      <c r="A1456" s="3" t="s">
        <v>275</v>
      </c>
      <c r="B1456" s="5">
        <v>45204</v>
      </c>
      <c r="C1456" s="3">
        <v>0.70833333333333337</v>
      </c>
      <c r="D1456" s="5">
        <v>45204</v>
      </c>
      <c r="E1456" s="3">
        <v>0.75</v>
      </c>
      <c r="F1456" t="b">
        <v>0</v>
      </c>
      <c r="G1456" s="3" t="s">
        <v>276</v>
      </c>
      <c r="H1456" s="3" t="s">
        <v>247</v>
      </c>
      <c r="I1456" t="b">
        <v>0</v>
      </c>
    </row>
    <row r="1457" spans="1:9" ht="15" hidden="1" customHeight="1" x14ac:dyDescent="0.2">
      <c r="A1457" s="3" t="s">
        <v>275</v>
      </c>
      <c r="B1457" s="5">
        <v>45209</v>
      </c>
      <c r="C1457" s="3">
        <v>0.625</v>
      </c>
      <c r="D1457" s="5">
        <v>45209</v>
      </c>
      <c r="E1457" s="3">
        <v>0.66666666666666663</v>
      </c>
      <c r="F1457" t="b">
        <v>0</v>
      </c>
      <c r="G1457" s="3" t="s">
        <v>276</v>
      </c>
      <c r="H1457" s="3" t="s">
        <v>247</v>
      </c>
      <c r="I1457" t="b">
        <v>0</v>
      </c>
    </row>
    <row r="1458" spans="1:9" ht="15" hidden="1" customHeight="1" x14ac:dyDescent="0.2">
      <c r="A1458" s="3" t="s">
        <v>275</v>
      </c>
      <c r="B1458" s="5">
        <v>45210</v>
      </c>
      <c r="C1458" s="3">
        <v>0.58333333333333337</v>
      </c>
      <c r="D1458" s="5">
        <v>45210</v>
      </c>
      <c r="E1458" s="3">
        <v>0.625</v>
      </c>
      <c r="F1458" t="b">
        <v>0</v>
      </c>
      <c r="G1458" s="3" t="s">
        <v>276</v>
      </c>
      <c r="H1458" s="3" t="s">
        <v>247</v>
      </c>
      <c r="I1458" t="b">
        <v>0</v>
      </c>
    </row>
    <row r="1459" spans="1:9" ht="15" hidden="1" customHeight="1" x14ac:dyDescent="0.2">
      <c r="A1459" s="3" t="s">
        <v>275</v>
      </c>
      <c r="B1459" s="5">
        <v>45211</v>
      </c>
      <c r="C1459" s="3">
        <v>0.70833333333333337</v>
      </c>
      <c r="D1459" s="5">
        <v>45211</v>
      </c>
      <c r="E1459" s="3">
        <v>0.75</v>
      </c>
      <c r="F1459" t="b">
        <v>0</v>
      </c>
      <c r="G1459" s="3" t="s">
        <v>276</v>
      </c>
      <c r="H1459" s="3" t="s">
        <v>247</v>
      </c>
      <c r="I1459" t="b">
        <v>0</v>
      </c>
    </row>
    <row r="1460" spans="1:9" ht="15" hidden="1" customHeight="1" x14ac:dyDescent="0.2">
      <c r="A1460" s="3" t="s">
        <v>275</v>
      </c>
      <c r="B1460" s="5">
        <v>45216</v>
      </c>
      <c r="C1460" s="3">
        <v>0.625</v>
      </c>
      <c r="D1460" s="5">
        <v>45216</v>
      </c>
      <c r="E1460" s="3">
        <v>0.66666666666666663</v>
      </c>
      <c r="F1460" t="b">
        <v>0</v>
      </c>
      <c r="G1460" s="3" t="s">
        <v>276</v>
      </c>
      <c r="H1460" s="3" t="s">
        <v>247</v>
      </c>
      <c r="I1460" t="b">
        <v>0</v>
      </c>
    </row>
    <row r="1461" spans="1:9" ht="15" hidden="1" customHeight="1" x14ac:dyDescent="0.2">
      <c r="A1461" s="3" t="s">
        <v>275</v>
      </c>
      <c r="B1461" s="5">
        <v>45217</v>
      </c>
      <c r="C1461" s="3">
        <v>0.58333333333333337</v>
      </c>
      <c r="D1461" s="5">
        <v>45217</v>
      </c>
      <c r="E1461" s="3">
        <v>0.625</v>
      </c>
      <c r="F1461" t="b">
        <v>0</v>
      </c>
      <c r="G1461" s="3" t="s">
        <v>276</v>
      </c>
      <c r="H1461" s="3" t="s">
        <v>247</v>
      </c>
      <c r="I1461" t="b">
        <v>0</v>
      </c>
    </row>
    <row r="1462" spans="1:9" ht="15" hidden="1" customHeight="1" x14ac:dyDescent="0.2">
      <c r="A1462" s="3" t="s">
        <v>275</v>
      </c>
      <c r="B1462" s="5">
        <v>45218</v>
      </c>
      <c r="C1462" s="3">
        <v>0.70833333333333337</v>
      </c>
      <c r="D1462" s="5">
        <v>45218</v>
      </c>
      <c r="E1462" s="3">
        <v>0.75</v>
      </c>
      <c r="F1462" t="b">
        <v>0</v>
      </c>
      <c r="G1462" s="3" t="s">
        <v>276</v>
      </c>
      <c r="H1462" s="3" t="s">
        <v>247</v>
      </c>
      <c r="I1462" t="b">
        <v>0</v>
      </c>
    </row>
    <row r="1463" spans="1:9" ht="15" hidden="1" customHeight="1" x14ac:dyDescent="0.2">
      <c r="A1463" s="3" t="s">
        <v>275</v>
      </c>
      <c r="B1463" s="5">
        <v>45223</v>
      </c>
      <c r="C1463" s="3">
        <v>0.625</v>
      </c>
      <c r="D1463" s="5">
        <v>45223</v>
      </c>
      <c r="E1463" s="3">
        <v>0.66666666666666663</v>
      </c>
      <c r="F1463" t="b">
        <v>0</v>
      </c>
      <c r="G1463" s="3" t="s">
        <v>276</v>
      </c>
      <c r="H1463" s="3" t="s">
        <v>247</v>
      </c>
      <c r="I1463" t="b">
        <v>0</v>
      </c>
    </row>
    <row r="1464" spans="1:9" ht="15" hidden="1" customHeight="1" x14ac:dyDescent="0.2">
      <c r="A1464" s="3" t="s">
        <v>275</v>
      </c>
      <c r="B1464" s="5">
        <v>45224</v>
      </c>
      <c r="C1464" s="3">
        <v>0.58333333333333337</v>
      </c>
      <c r="D1464" s="5">
        <v>45224</v>
      </c>
      <c r="E1464" s="3">
        <v>0.625</v>
      </c>
      <c r="F1464" t="b">
        <v>0</v>
      </c>
      <c r="G1464" s="3" t="s">
        <v>276</v>
      </c>
      <c r="H1464" s="3" t="s">
        <v>247</v>
      </c>
      <c r="I1464" t="b">
        <v>0</v>
      </c>
    </row>
    <row r="1465" spans="1:9" ht="15" hidden="1" customHeight="1" x14ac:dyDescent="0.2">
      <c r="A1465" s="3" t="s">
        <v>275</v>
      </c>
      <c r="B1465" s="5">
        <v>45225</v>
      </c>
      <c r="C1465" s="3">
        <v>0.70833333333333337</v>
      </c>
      <c r="D1465" s="5">
        <v>45225</v>
      </c>
      <c r="E1465" s="3">
        <v>0.75</v>
      </c>
      <c r="F1465" t="b">
        <v>0</v>
      </c>
      <c r="G1465" s="3" t="s">
        <v>276</v>
      </c>
      <c r="H1465" s="3" t="s">
        <v>247</v>
      </c>
      <c r="I1465" t="b">
        <v>0</v>
      </c>
    </row>
    <row r="1466" spans="1:9" ht="15" hidden="1" customHeight="1" x14ac:dyDescent="0.2">
      <c r="A1466" s="3" t="s">
        <v>275</v>
      </c>
      <c r="B1466" s="5">
        <v>45230</v>
      </c>
      <c r="C1466" s="3">
        <v>0.625</v>
      </c>
      <c r="D1466" s="5">
        <v>45230</v>
      </c>
      <c r="E1466" s="3">
        <v>0.66666666666666663</v>
      </c>
      <c r="F1466" t="b">
        <v>0</v>
      </c>
      <c r="G1466" s="3" t="s">
        <v>276</v>
      </c>
      <c r="H1466" s="3" t="s">
        <v>247</v>
      </c>
      <c r="I1466" t="b">
        <v>0</v>
      </c>
    </row>
    <row r="1467" spans="1:9" ht="15" hidden="1" customHeight="1" x14ac:dyDescent="0.2">
      <c r="A1467" s="3" t="s">
        <v>275</v>
      </c>
      <c r="B1467" s="5">
        <v>45231</v>
      </c>
      <c r="C1467" s="3">
        <v>0.58333333333333337</v>
      </c>
      <c r="D1467" s="5">
        <v>45231</v>
      </c>
      <c r="E1467" s="3">
        <v>0.625</v>
      </c>
      <c r="F1467" t="b">
        <v>0</v>
      </c>
      <c r="G1467" s="3" t="s">
        <v>276</v>
      </c>
      <c r="H1467" s="3" t="s">
        <v>247</v>
      </c>
      <c r="I1467" t="b">
        <v>0</v>
      </c>
    </row>
    <row r="1468" spans="1:9" ht="15" hidden="1" customHeight="1" x14ac:dyDescent="0.2">
      <c r="A1468" s="3" t="s">
        <v>275</v>
      </c>
      <c r="B1468" s="5">
        <v>45232</v>
      </c>
      <c r="C1468" s="3">
        <v>0.70833333333333337</v>
      </c>
      <c r="D1468" s="5">
        <v>45232</v>
      </c>
      <c r="E1468" s="3">
        <v>0.75</v>
      </c>
      <c r="F1468" t="b">
        <v>0</v>
      </c>
      <c r="G1468" s="3" t="s">
        <v>276</v>
      </c>
      <c r="H1468" s="3" t="s">
        <v>247</v>
      </c>
      <c r="I1468" t="b">
        <v>0</v>
      </c>
    </row>
    <row r="1469" spans="1:9" ht="15" hidden="1" customHeight="1" x14ac:dyDescent="0.2">
      <c r="A1469" s="3" t="s">
        <v>275</v>
      </c>
      <c r="B1469" s="5">
        <v>45237</v>
      </c>
      <c r="C1469" s="3">
        <v>0.625</v>
      </c>
      <c r="D1469" s="5">
        <v>45237</v>
      </c>
      <c r="E1469" s="3">
        <v>0.66666666666666663</v>
      </c>
      <c r="F1469" t="b">
        <v>0</v>
      </c>
      <c r="G1469" s="3" t="s">
        <v>276</v>
      </c>
      <c r="H1469" s="3" t="s">
        <v>247</v>
      </c>
      <c r="I1469" t="b">
        <v>0</v>
      </c>
    </row>
    <row r="1470" spans="1:9" ht="15" hidden="1" customHeight="1" x14ac:dyDescent="0.2">
      <c r="A1470" s="3" t="s">
        <v>275</v>
      </c>
      <c r="B1470" s="5">
        <v>45238</v>
      </c>
      <c r="C1470" s="3">
        <v>0.58333333333333337</v>
      </c>
      <c r="D1470" s="5">
        <v>45238</v>
      </c>
      <c r="E1470" s="3">
        <v>0.625</v>
      </c>
      <c r="F1470" t="b">
        <v>0</v>
      </c>
      <c r="G1470" s="3" t="s">
        <v>276</v>
      </c>
      <c r="H1470" s="3" t="s">
        <v>247</v>
      </c>
      <c r="I1470" t="b">
        <v>0</v>
      </c>
    </row>
    <row r="1471" spans="1:9" ht="15" hidden="1" customHeight="1" x14ac:dyDescent="0.2">
      <c r="A1471" s="3" t="s">
        <v>275</v>
      </c>
      <c r="B1471" s="5">
        <v>45239</v>
      </c>
      <c r="C1471" s="3">
        <v>0.70833333333333337</v>
      </c>
      <c r="D1471" s="5">
        <v>45239</v>
      </c>
      <c r="E1471" s="3">
        <v>0.75</v>
      </c>
      <c r="F1471" t="b">
        <v>0</v>
      </c>
      <c r="G1471" s="3" t="s">
        <v>276</v>
      </c>
      <c r="H1471" s="3" t="s">
        <v>247</v>
      </c>
      <c r="I1471" t="b">
        <v>0</v>
      </c>
    </row>
    <row r="1472" spans="1:9" ht="15" hidden="1" customHeight="1" x14ac:dyDescent="0.2">
      <c r="A1472" s="6" t="s">
        <v>281</v>
      </c>
      <c r="B1472" s="5">
        <v>45195</v>
      </c>
      <c r="C1472" s="3">
        <v>0.66666666666666663</v>
      </c>
      <c r="D1472" s="5">
        <v>45195</v>
      </c>
      <c r="E1472" s="3">
        <v>0.70833333333333326</v>
      </c>
      <c r="F1472" t="b">
        <v>0</v>
      </c>
      <c r="G1472" s="7" t="s">
        <v>282</v>
      </c>
      <c r="H1472" t="s">
        <v>247</v>
      </c>
      <c r="I1472" t="b">
        <v>0</v>
      </c>
    </row>
    <row r="1473" spans="1:9" ht="15" hidden="1" customHeight="1" x14ac:dyDescent="0.2">
      <c r="A1473" s="6" t="s">
        <v>281</v>
      </c>
      <c r="B1473" s="5">
        <v>45196</v>
      </c>
      <c r="C1473" s="3">
        <v>0.70833333333333337</v>
      </c>
      <c r="D1473" s="5">
        <v>45196</v>
      </c>
      <c r="E1473" s="3">
        <v>0.75</v>
      </c>
      <c r="F1473" t="b">
        <v>0</v>
      </c>
      <c r="G1473" s="8" t="s">
        <v>282</v>
      </c>
      <c r="H1473" t="s">
        <v>247</v>
      </c>
      <c r="I1473" t="b">
        <v>0</v>
      </c>
    </row>
    <row r="1474" spans="1:9" ht="15" hidden="1" customHeight="1" x14ac:dyDescent="0.2">
      <c r="A1474" s="6" t="s">
        <v>281</v>
      </c>
      <c r="B1474" s="5">
        <v>45197</v>
      </c>
      <c r="C1474" s="3">
        <v>0.58333333333333337</v>
      </c>
      <c r="D1474" s="5">
        <v>45197</v>
      </c>
      <c r="E1474" s="3">
        <v>0.625</v>
      </c>
      <c r="F1474" t="b">
        <v>0</v>
      </c>
      <c r="G1474" s="8" t="s">
        <v>282</v>
      </c>
      <c r="H1474" t="s">
        <v>247</v>
      </c>
      <c r="I1474" t="b">
        <v>0</v>
      </c>
    </row>
    <row r="1475" spans="1:9" ht="15" hidden="1" customHeight="1" x14ac:dyDescent="0.2">
      <c r="A1475" s="3" t="s">
        <v>281</v>
      </c>
      <c r="B1475" s="5">
        <v>45202</v>
      </c>
      <c r="C1475" s="3">
        <v>0.66666666666666663</v>
      </c>
      <c r="D1475" s="5">
        <v>45202</v>
      </c>
      <c r="E1475" s="3">
        <v>0.70833333333333326</v>
      </c>
      <c r="F1475" t="b">
        <v>0</v>
      </c>
      <c r="G1475" s="3" t="s">
        <v>282</v>
      </c>
      <c r="H1475" s="3" t="s">
        <v>247</v>
      </c>
      <c r="I1475" t="b">
        <v>0</v>
      </c>
    </row>
    <row r="1476" spans="1:9" ht="15" hidden="1" customHeight="1" x14ac:dyDescent="0.2">
      <c r="A1476" s="3" t="s">
        <v>281</v>
      </c>
      <c r="B1476" s="5">
        <v>45203</v>
      </c>
      <c r="C1476" s="3">
        <v>0.70833333333333337</v>
      </c>
      <c r="D1476" s="5">
        <v>45203</v>
      </c>
      <c r="E1476" s="3">
        <v>0.75</v>
      </c>
      <c r="F1476" t="b">
        <v>0</v>
      </c>
      <c r="G1476" s="3" t="s">
        <v>282</v>
      </c>
      <c r="H1476" s="3" t="s">
        <v>247</v>
      </c>
      <c r="I1476" t="b">
        <v>0</v>
      </c>
    </row>
    <row r="1477" spans="1:9" ht="15" hidden="1" customHeight="1" x14ac:dyDescent="0.2">
      <c r="A1477" s="3" t="s">
        <v>281</v>
      </c>
      <c r="B1477" s="5">
        <v>45204</v>
      </c>
      <c r="C1477" s="3">
        <v>0.58333333333333337</v>
      </c>
      <c r="D1477" s="5">
        <v>45204</v>
      </c>
      <c r="E1477" s="3">
        <v>0.625</v>
      </c>
      <c r="F1477" t="b">
        <v>0</v>
      </c>
      <c r="G1477" s="3" t="s">
        <v>282</v>
      </c>
      <c r="H1477" s="3" t="s">
        <v>247</v>
      </c>
      <c r="I1477" t="b">
        <v>0</v>
      </c>
    </row>
    <row r="1478" spans="1:9" ht="15" hidden="1" customHeight="1" x14ac:dyDescent="0.2">
      <c r="A1478" s="3" t="s">
        <v>281</v>
      </c>
      <c r="B1478" s="5">
        <v>45209</v>
      </c>
      <c r="C1478" s="3">
        <v>0.66666666666666663</v>
      </c>
      <c r="D1478" s="5">
        <v>45209</v>
      </c>
      <c r="E1478" s="3">
        <v>0.70833333333333326</v>
      </c>
      <c r="F1478" t="b">
        <v>0</v>
      </c>
      <c r="G1478" s="3" t="s">
        <v>282</v>
      </c>
      <c r="H1478" s="3" t="s">
        <v>247</v>
      </c>
      <c r="I1478" t="b">
        <v>0</v>
      </c>
    </row>
    <row r="1479" spans="1:9" ht="15" hidden="1" customHeight="1" x14ac:dyDescent="0.2">
      <c r="A1479" s="3" t="s">
        <v>281</v>
      </c>
      <c r="B1479" s="5">
        <v>45210</v>
      </c>
      <c r="C1479" s="3">
        <v>0.70833333333333337</v>
      </c>
      <c r="D1479" s="5">
        <v>45210</v>
      </c>
      <c r="E1479" s="3">
        <v>0.75</v>
      </c>
      <c r="F1479" t="b">
        <v>0</v>
      </c>
      <c r="G1479" s="3" t="s">
        <v>282</v>
      </c>
      <c r="H1479" s="3" t="s">
        <v>247</v>
      </c>
      <c r="I1479" t="b">
        <v>0</v>
      </c>
    </row>
    <row r="1480" spans="1:9" ht="15" hidden="1" customHeight="1" x14ac:dyDescent="0.2">
      <c r="A1480" s="3" t="s">
        <v>281</v>
      </c>
      <c r="B1480" s="5">
        <v>45211</v>
      </c>
      <c r="C1480" s="3">
        <v>0.58333333333333337</v>
      </c>
      <c r="D1480" s="5">
        <v>45211</v>
      </c>
      <c r="E1480" s="3">
        <v>0.625</v>
      </c>
      <c r="F1480" t="b">
        <v>0</v>
      </c>
      <c r="G1480" s="3" t="s">
        <v>282</v>
      </c>
      <c r="H1480" s="3" t="s">
        <v>247</v>
      </c>
      <c r="I1480" t="b">
        <v>0</v>
      </c>
    </row>
    <row r="1481" spans="1:9" ht="15" hidden="1" customHeight="1" x14ac:dyDescent="0.2">
      <c r="A1481" s="3" t="s">
        <v>281</v>
      </c>
      <c r="B1481" s="5">
        <v>45216</v>
      </c>
      <c r="C1481" s="3">
        <v>0.66666666666666663</v>
      </c>
      <c r="D1481" s="5">
        <v>45216</v>
      </c>
      <c r="E1481" s="3">
        <v>0.70833333333333326</v>
      </c>
      <c r="F1481" t="b">
        <v>0</v>
      </c>
      <c r="G1481" s="3" t="s">
        <v>282</v>
      </c>
      <c r="H1481" s="3" t="s">
        <v>247</v>
      </c>
      <c r="I1481" t="b">
        <v>0</v>
      </c>
    </row>
    <row r="1482" spans="1:9" ht="15" hidden="1" customHeight="1" x14ac:dyDescent="0.2">
      <c r="A1482" s="3" t="s">
        <v>281</v>
      </c>
      <c r="B1482" s="5">
        <v>45217</v>
      </c>
      <c r="C1482" s="3">
        <v>0.70833333333333337</v>
      </c>
      <c r="D1482" s="5">
        <v>45217</v>
      </c>
      <c r="E1482" s="3">
        <v>0.75</v>
      </c>
      <c r="F1482" t="b">
        <v>0</v>
      </c>
      <c r="G1482" s="3" t="s">
        <v>282</v>
      </c>
      <c r="H1482" s="3" t="s">
        <v>247</v>
      </c>
      <c r="I1482" t="b">
        <v>0</v>
      </c>
    </row>
    <row r="1483" spans="1:9" ht="15" hidden="1" customHeight="1" x14ac:dyDescent="0.2">
      <c r="A1483" s="3" t="s">
        <v>281</v>
      </c>
      <c r="B1483" s="5">
        <v>45218</v>
      </c>
      <c r="C1483" s="3">
        <v>0.58333333333333337</v>
      </c>
      <c r="D1483" s="5">
        <v>45218</v>
      </c>
      <c r="E1483" s="3">
        <v>0.625</v>
      </c>
      <c r="F1483" t="b">
        <v>0</v>
      </c>
      <c r="G1483" s="3" t="s">
        <v>282</v>
      </c>
      <c r="H1483" s="3" t="s">
        <v>247</v>
      </c>
      <c r="I1483" t="b">
        <v>0</v>
      </c>
    </row>
    <row r="1484" spans="1:9" ht="15" hidden="1" customHeight="1" x14ac:dyDescent="0.2">
      <c r="A1484" s="3" t="s">
        <v>281</v>
      </c>
      <c r="B1484" s="5">
        <v>45223</v>
      </c>
      <c r="C1484" s="3">
        <v>0.66666666666666663</v>
      </c>
      <c r="D1484" s="5">
        <v>45223</v>
      </c>
      <c r="E1484" s="3">
        <v>0.70833333333333326</v>
      </c>
      <c r="F1484" t="b">
        <v>0</v>
      </c>
      <c r="G1484" s="3" t="s">
        <v>282</v>
      </c>
      <c r="H1484" s="3" t="s">
        <v>247</v>
      </c>
      <c r="I1484" t="b">
        <v>0</v>
      </c>
    </row>
    <row r="1485" spans="1:9" ht="15" hidden="1" customHeight="1" x14ac:dyDescent="0.2">
      <c r="A1485" s="3" t="s">
        <v>281</v>
      </c>
      <c r="B1485" s="5">
        <v>45224</v>
      </c>
      <c r="C1485" s="3">
        <v>0.70833333333333337</v>
      </c>
      <c r="D1485" s="5">
        <v>45224</v>
      </c>
      <c r="E1485" s="3">
        <v>0.75</v>
      </c>
      <c r="F1485" t="b">
        <v>0</v>
      </c>
      <c r="G1485" s="3" t="s">
        <v>282</v>
      </c>
      <c r="H1485" s="3" t="s">
        <v>247</v>
      </c>
      <c r="I1485" t="b">
        <v>0</v>
      </c>
    </row>
    <row r="1486" spans="1:9" ht="15" hidden="1" customHeight="1" x14ac:dyDescent="0.2">
      <c r="A1486" s="3" t="s">
        <v>281</v>
      </c>
      <c r="B1486" s="5">
        <v>45225</v>
      </c>
      <c r="C1486" s="3">
        <v>0.58333333333333337</v>
      </c>
      <c r="D1486" s="5">
        <v>45225</v>
      </c>
      <c r="E1486" s="3">
        <v>0.625</v>
      </c>
      <c r="F1486" t="b">
        <v>0</v>
      </c>
      <c r="G1486" s="3" t="s">
        <v>282</v>
      </c>
      <c r="H1486" s="3" t="s">
        <v>247</v>
      </c>
      <c r="I1486" t="b">
        <v>0</v>
      </c>
    </row>
    <row r="1487" spans="1:9" ht="15" hidden="1" customHeight="1" x14ac:dyDescent="0.2">
      <c r="A1487" s="3" t="s">
        <v>281</v>
      </c>
      <c r="B1487" s="5">
        <v>45230</v>
      </c>
      <c r="C1487" s="3">
        <v>0.66666666666666663</v>
      </c>
      <c r="D1487" s="5">
        <v>45230</v>
      </c>
      <c r="E1487" s="3">
        <v>0.70833333333333326</v>
      </c>
      <c r="F1487" t="b">
        <v>0</v>
      </c>
      <c r="G1487" s="3" t="s">
        <v>282</v>
      </c>
      <c r="H1487" s="3" t="s">
        <v>247</v>
      </c>
      <c r="I1487" t="b">
        <v>0</v>
      </c>
    </row>
    <row r="1488" spans="1:9" ht="15" hidden="1" customHeight="1" x14ac:dyDescent="0.2">
      <c r="A1488" s="3" t="s">
        <v>281</v>
      </c>
      <c r="B1488" s="5">
        <v>45231</v>
      </c>
      <c r="C1488" s="3">
        <v>0.70833333333333337</v>
      </c>
      <c r="D1488" s="5">
        <v>45231</v>
      </c>
      <c r="E1488" s="3">
        <v>0.75</v>
      </c>
      <c r="F1488" t="b">
        <v>0</v>
      </c>
      <c r="G1488" s="3" t="s">
        <v>282</v>
      </c>
      <c r="H1488" s="3" t="s">
        <v>247</v>
      </c>
      <c r="I1488" t="b">
        <v>0</v>
      </c>
    </row>
    <row r="1489" spans="1:9" ht="15" hidden="1" customHeight="1" x14ac:dyDescent="0.2">
      <c r="A1489" s="3" t="s">
        <v>281</v>
      </c>
      <c r="B1489" s="5">
        <v>45232</v>
      </c>
      <c r="C1489" s="3">
        <v>0.58333333333333337</v>
      </c>
      <c r="D1489" s="5">
        <v>45232</v>
      </c>
      <c r="E1489" s="3">
        <v>0.625</v>
      </c>
      <c r="F1489" t="b">
        <v>0</v>
      </c>
      <c r="G1489" s="3" t="s">
        <v>282</v>
      </c>
      <c r="H1489" s="3" t="s">
        <v>247</v>
      </c>
      <c r="I1489" t="b">
        <v>0</v>
      </c>
    </row>
    <row r="1490" spans="1:9" ht="15" hidden="1" customHeight="1" x14ac:dyDescent="0.2">
      <c r="A1490" s="3" t="s">
        <v>281</v>
      </c>
      <c r="B1490" s="5">
        <v>45237</v>
      </c>
      <c r="C1490" s="3">
        <v>0.66666666666666663</v>
      </c>
      <c r="D1490" s="5">
        <v>45237</v>
      </c>
      <c r="E1490" s="3">
        <v>0.70833333333333326</v>
      </c>
      <c r="F1490" t="b">
        <v>0</v>
      </c>
      <c r="G1490" s="3" t="s">
        <v>282</v>
      </c>
      <c r="H1490" s="3" t="s">
        <v>247</v>
      </c>
      <c r="I1490" t="b">
        <v>0</v>
      </c>
    </row>
    <row r="1491" spans="1:9" ht="15" hidden="1" customHeight="1" x14ac:dyDescent="0.2">
      <c r="A1491" s="3" t="s">
        <v>281</v>
      </c>
      <c r="B1491" s="5">
        <v>45238</v>
      </c>
      <c r="C1491" s="3">
        <v>0.70833333333333337</v>
      </c>
      <c r="D1491" s="5">
        <v>45238</v>
      </c>
      <c r="E1491" s="3">
        <v>0.75</v>
      </c>
      <c r="F1491" t="b">
        <v>0</v>
      </c>
      <c r="G1491" s="3" t="s">
        <v>282</v>
      </c>
      <c r="H1491" s="3" t="s">
        <v>247</v>
      </c>
      <c r="I1491" t="b">
        <v>0</v>
      </c>
    </row>
    <row r="1492" spans="1:9" ht="15" hidden="1" customHeight="1" x14ac:dyDescent="0.2">
      <c r="A1492" s="3" t="s">
        <v>281</v>
      </c>
      <c r="B1492" s="5">
        <v>45239</v>
      </c>
      <c r="C1492" s="3">
        <v>0.58333333333333337</v>
      </c>
      <c r="D1492" s="5">
        <v>45239</v>
      </c>
      <c r="E1492" s="3">
        <v>0.625</v>
      </c>
      <c r="F1492" t="b">
        <v>0</v>
      </c>
      <c r="G1492" s="3" t="s">
        <v>282</v>
      </c>
      <c r="H1492" s="3" t="s">
        <v>247</v>
      </c>
      <c r="I1492" t="b">
        <v>0</v>
      </c>
    </row>
    <row r="1493" spans="1:9" ht="15" hidden="1" customHeight="1" x14ac:dyDescent="0.2">
      <c r="A1493" s="6" t="s">
        <v>289</v>
      </c>
      <c r="B1493" s="5">
        <v>45195</v>
      </c>
      <c r="C1493" s="3">
        <v>0.70833333333333337</v>
      </c>
      <c r="D1493" s="5">
        <v>45195</v>
      </c>
      <c r="E1493" s="3">
        <v>0.75</v>
      </c>
      <c r="F1493" t="b">
        <v>0</v>
      </c>
      <c r="G1493" s="7" t="s">
        <v>290</v>
      </c>
      <c r="H1493" t="s">
        <v>247</v>
      </c>
      <c r="I1493" t="b">
        <v>0</v>
      </c>
    </row>
    <row r="1494" spans="1:9" ht="15" hidden="1" customHeight="1" x14ac:dyDescent="0.2">
      <c r="A1494" s="6" t="s">
        <v>289</v>
      </c>
      <c r="B1494" s="5">
        <v>45196</v>
      </c>
      <c r="C1494" s="3">
        <v>0.625</v>
      </c>
      <c r="D1494" s="5">
        <v>45196</v>
      </c>
      <c r="E1494" s="3">
        <v>0.66666666666666663</v>
      </c>
      <c r="F1494" t="b">
        <v>0</v>
      </c>
      <c r="G1494" s="8" t="s">
        <v>290</v>
      </c>
      <c r="H1494" t="s">
        <v>247</v>
      </c>
      <c r="I1494" t="b">
        <v>0</v>
      </c>
    </row>
    <row r="1495" spans="1:9" ht="15" hidden="1" customHeight="1" x14ac:dyDescent="0.2">
      <c r="A1495" s="6" t="s">
        <v>289</v>
      </c>
      <c r="B1495" s="5">
        <v>45197</v>
      </c>
      <c r="C1495" s="3">
        <v>0.66666666666666663</v>
      </c>
      <c r="D1495" s="5">
        <v>45197</v>
      </c>
      <c r="E1495" s="3">
        <v>0.70833333333333326</v>
      </c>
      <c r="F1495" t="b">
        <v>0</v>
      </c>
      <c r="G1495" s="8" t="s">
        <v>290</v>
      </c>
      <c r="H1495" t="s">
        <v>247</v>
      </c>
      <c r="I1495" t="b">
        <v>0</v>
      </c>
    </row>
    <row r="1496" spans="1:9" ht="15" hidden="1" customHeight="1" x14ac:dyDescent="0.2">
      <c r="A1496" s="3" t="s">
        <v>289</v>
      </c>
      <c r="B1496" s="5">
        <v>45202</v>
      </c>
      <c r="C1496" s="3">
        <v>0.70833333333333337</v>
      </c>
      <c r="D1496" s="5">
        <v>45202</v>
      </c>
      <c r="E1496" s="3">
        <v>0.75</v>
      </c>
      <c r="F1496" t="b">
        <v>0</v>
      </c>
      <c r="G1496" s="3" t="s">
        <v>290</v>
      </c>
      <c r="H1496" s="3" t="s">
        <v>247</v>
      </c>
      <c r="I1496" t="b">
        <v>0</v>
      </c>
    </row>
    <row r="1497" spans="1:9" ht="15" hidden="1" customHeight="1" x14ac:dyDescent="0.2">
      <c r="A1497" s="3" t="s">
        <v>289</v>
      </c>
      <c r="B1497" s="5">
        <v>45203</v>
      </c>
      <c r="C1497" s="3">
        <v>0.625</v>
      </c>
      <c r="D1497" s="5">
        <v>45203</v>
      </c>
      <c r="E1497" s="3">
        <v>0.66666666666666663</v>
      </c>
      <c r="F1497" t="b">
        <v>0</v>
      </c>
      <c r="G1497" s="3" t="s">
        <v>290</v>
      </c>
      <c r="H1497" s="3" t="s">
        <v>247</v>
      </c>
      <c r="I1497" t="b">
        <v>0</v>
      </c>
    </row>
    <row r="1498" spans="1:9" ht="15" hidden="1" customHeight="1" x14ac:dyDescent="0.2">
      <c r="A1498" s="3" t="s">
        <v>289</v>
      </c>
      <c r="B1498" s="5">
        <v>45204</v>
      </c>
      <c r="C1498" s="3">
        <v>0.66666666666666663</v>
      </c>
      <c r="D1498" s="5">
        <v>45204</v>
      </c>
      <c r="E1498" s="3">
        <v>0.70833333333333326</v>
      </c>
      <c r="F1498" t="b">
        <v>0</v>
      </c>
      <c r="G1498" s="3" t="s">
        <v>290</v>
      </c>
      <c r="H1498" s="3" t="s">
        <v>247</v>
      </c>
      <c r="I1498" t="b">
        <v>0</v>
      </c>
    </row>
    <row r="1499" spans="1:9" ht="15" hidden="1" customHeight="1" x14ac:dyDescent="0.2">
      <c r="A1499" s="3" t="s">
        <v>289</v>
      </c>
      <c r="B1499" s="5">
        <v>45209</v>
      </c>
      <c r="C1499" s="3">
        <v>0.70833333333333337</v>
      </c>
      <c r="D1499" s="5">
        <v>45209</v>
      </c>
      <c r="E1499" s="3">
        <v>0.75</v>
      </c>
      <c r="F1499" t="b">
        <v>0</v>
      </c>
      <c r="G1499" s="3" t="s">
        <v>290</v>
      </c>
      <c r="H1499" s="3" t="s">
        <v>247</v>
      </c>
      <c r="I1499" t="b">
        <v>0</v>
      </c>
    </row>
    <row r="1500" spans="1:9" ht="15" hidden="1" customHeight="1" x14ac:dyDescent="0.2">
      <c r="A1500" s="3" t="s">
        <v>289</v>
      </c>
      <c r="B1500" s="5">
        <v>45210</v>
      </c>
      <c r="C1500" s="3">
        <v>0.625</v>
      </c>
      <c r="D1500" s="5">
        <v>45210</v>
      </c>
      <c r="E1500" s="3">
        <v>0.66666666666666663</v>
      </c>
      <c r="F1500" t="b">
        <v>0</v>
      </c>
      <c r="G1500" s="3" t="s">
        <v>290</v>
      </c>
      <c r="H1500" s="3" t="s">
        <v>247</v>
      </c>
      <c r="I1500" t="b">
        <v>0</v>
      </c>
    </row>
    <row r="1501" spans="1:9" ht="15" hidden="1" customHeight="1" x14ac:dyDescent="0.2">
      <c r="A1501" s="3" t="s">
        <v>289</v>
      </c>
      <c r="B1501" s="5">
        <v>45211</v>
      </c>
      <c r="C1501" s="3">
        <v>0.66666666666666663</v>
      </c>
      <c r="D1501" s="5">
        <v>45211</v>
      </c>
      <c r="E1501" s="3">
        <v>0.70833333333333326</v>
      </c>
      <c r="F1501" t="b">
        <v>0</v>
      </c>
      <c r="G1501" s="3" t="s">
        <v>290</v>
      </c>
      <c r="H1501" s="3" t="s">
        <v>247</v>
      </c>
      <c r="I1501" t="b">
        <v>0</v>
      </c>
    </row>
    <row r="1502" spans="1:9" ht="15" hidden="1" customHeight="1" x14ac:dyDescent="0.2">
      <c r="A1502" s="3" t="s">
        <v>289</v>
      </c>
      <c r="B1502" s="5">
        <v>45216</v>
      </c>
      <c r="C1502" s="3">
        <v>0.70833333333333337</v>
      </c>
      <c r="D1502" s="5">
        <v>45216</v>
      </c>
      <c r="E1502" s="3">
        <v>0.75</v>
      </c>
      <c r="F1502" t="b">
        <v>0</v>
      </c>
      <c r="G1502" s="3" t="s">
        <v>290</v>
      </c>
      <c r="H1502" s="3" t="s">
        <v>247</v>
      </c>
      <c r="I1502" t="b">
        <v>0</v>
      </c>
    </row>
    <row r="1503" spans="1:9" ht="15" hidden="1" customHeight="1" x14ac:dyDescent="0.2">
      <c r="A1503" s="3" t="s">
        <v>289</v>
      </c>
      <c r="B1503" s="5">
        <v>45217</v>
      </c>
      <c r="C1503" s="3">
        <v>0.625</v>
      </c>
      <c r="D1503" s="5">
        <v>45217</v>
      </c>
      <c r="E1503" s="3">
        <v>0.66666666666666663</v>
      </c>
      <c r="F1503" t="b">
        <v>0</v>
      </c>
      <c r="G1503" s="3" t="s">
        <v>290</v>
      </c>
      <c r="H1503" s="3" t="s">
        <v>247</v>
      </c>
      <c r="I1503" t="b">
        <v>0</v>
      </c>
    </row>
    <row r="1504" spans="1:9" ht="15" hidden="1" customHeight="1" x14ac:dyDescent="0.2">
      <c r="A1504" s="3" t="s">
        <v>289</v>
      </c>
      <c r="B1504" s="5">
        <v>45218</v>
      </c>
      <c r="C1504" s="3">
        <v>0.66666666666666663</v>
      </c>
      <c r="D1504" s="5">
        <v>45218</v>
      </c>
      <c r="E1504" s="3">
        <v>0.70833333333333326</v>
      </c>
      <c r="F1504" t="b">
        <v>0</v>
      </c>
      <c r="G1504" s="3" t="s">
        <v>290</v>
      </c>
      <c r="H1504" s="3" t="s">
        <v>247</v>
      </c>
      <c r="I1504" t="b">
        <v>0</v>
      </c>
    </row>
    <row r="1505" spans="1:9" ht="15" hidden="1" customHeight="1" x14ac:dyDescent="0.2">
      <c r="A1505" s="3" t="s">
        <v>289</v>
      </c>
      <c r="B1505" s="5">
        <v>45223</v>
      </c>
      <c r="C1505" s="3">
        <v>0.70833333333333337</v>
      </c>
      <c r="D1505" s="5">
        <v>45223</v>
      </c>
      <c r="E1505" s="3">
        <v>0.75</v>
      </c>
      <c r="F1505" t="b">
        <v>0</v>
      </c>
      <c r="G1505" s="3" t="s">
        <v>290</v>
      </c>
      <c r="H1505" s="3" t="s">
        <v>247</v>
      </c>
      <c r="I1505" t="b">
        <v>0</v>
      </c>
    </row>
    <row r="1506" spans="1:9" ht="15" hidden="1" customHeight="1" x14ac:dyDescent="0.2">
      <c r="A1506" s="3" t="s">
        <v>289</v>
      </c>
      <c r="B1506" s="5">
        <v>45224</v>
      </c>
      <c r="C1506" s="3">
        <v>0.625</v>
      </c>
      <c r="D1506" s="5">
        <v>45224</v>
      </c>
      <c r="E1506" s="3">
        <v>0.66666666666666663</v>
      </c>
      <c r="F1506" t="b">
        <v>0</v>
      </c>
      <c r="G1506" s="3" t="s">
        <v>290</v>
      </c>
      <c r="H1506" s="3" t="s">
        <v>247</v>
      </c>
      <c r="I1506" t="b">
        <v>0</v>
      </c>
    </row>
    <row r="1507" spans="1:9" ht="15" hidden="1" customHeight="1" x14ac:dyDescent="0.2">
      <c r="A1507" s="3" t="s">
        <v>289</v>
      </c>
      <c r="B1507" s="5">
        <v>45225</v>
      </c>
      <c r="C1507" s="3">
        <v>0.66666666666666663</v>
      </c>
      <c r="D1507" s="5">
        <v>45225</v>
      </c>
      <c r="E1507" s="3">
        <v>0.70833333333333326</v>
      </c>
      <c r="F1507" t="b">
        <v>0</v>
      </c>
      <c r="G1507" s="3" t="s">
        <v>290</v>
      </c>
      <c r="H1507" s="3" t="s">
        <v>247</v>
      </c>
      <c r="I1507" t="b">
        <v>0</v>
      </c>
    </row>
    <row r="1508" spans="1:9" ht="15" hidden="1" customHeight="1" x14ac:dyDescent="0.2">
      <c r="A1508" s="3" t="s">
        <v>289</v>
      </c>
      <c r="B1508" s="5">
        <v>45230</v>
      </c>
      <c r="C1508" s="3">
        <v>0.70833333333333337</v>
      </c>
      <c r="D1508" s="5">
        <v>45230</v>
      </c>
      <c r="E1508" s="3">
        <v>0.75</v>
      </c>
      <c r="F1508" t="b">
        <v>0</v>
      </c>
      <c r="G1508" s="3" t="s">
        <v>290</v>
      </c>
      <c r="H1508" s="3" t="s">
        <v>247</v>
      </c>
      <c r="I1508" t="b">
        <v>0</v>
      </c>
    </row>
    <row r="1509" spans="1:9" ht="15" hidden="1" customHeight="1" x14ac:dyDescent="0.2">
      <c r="A1509" s="3" t="s">
        <v>289</v>
      </c>
      <c r="B1509" s="5">
        <v>45231</v>
      </c>
      <c r="C1509" s="3">
        <v>0.625</v>
      </c>
      <c r="D1509" s="5">
        <v>45231</v>
      </c>
      <c r="E1509" s="3">
        <v>0.66666666666666663</v>
      </c>
      <c r="F1509" t="b">
        <v>0</v>
      </c>
      <c r="G1509" s="3" t="s">
        <v>290</v>
      </c>
      <c r="H1509" s="3" t="s">
        <v>247</v>
      </c>
      <c r="I1509" t="b">
        <v>0</v>
      </c>
    </row>
    <row r="1510" spans="1:9" ht="15" hidden="1" customHeight="1" x14ac:dyDescent="0.2">
      <c r="A1510" s="3" t="s">
        <v>289</v>
      </c>
      <c r="B1510" s="5">
        <v>45232</v>
      </c>
      <c r="C1510" s="3">
        <v>0.66666666666666663</v>
      </c>
      <c r="D1510" s="5">
        <v>45232</v>
      </c>
      <c r="E1510" s="3">
        <v>0.70833333333333326</v>
      </c>
      <c r="F1510" t="b">
        <v>0</v>
      </c>
      <c r="G1510" s="3" t="s">
        <v>290</v>
      </c>
      <c r="H1510" s="3" t="s">
        <v>247</v>
      </c>
      <c r="I1510" t="b">
        <v>0</v>
      </c>
    </row>
    <row r="1511" spans="1:9" ht="15" hidden="1" customHeight="1" x14ac:dyDescent="0.2">
      <c r="A1511" s="3" t="s">
        <v>289</v>
      </c>
      <c r="B1511" s="5">
        <v>45237</v>
      </c>
      <c r="C1511" s="3">
        <v>0.70833333333333337</v>
      </c>
      <c r="D1511" s="5">
        <v>45237</v>
      </c>
      <c r="E1511" s="3">
        <v>0.75</v>
      </c>
      <c r="F1511" t="b">
        <v>0</v>
      </c>
      <c r="G1511" s="3" t="s">
        <v>290</v>
      </c>
      <c r="H1511" s="3" t="s">
        <v>247</v>
      </c>
      <c r="I1511" t="b">
        <v>0</v>
      </c>
    </row>
    <row r="1512" spans="1:9" ht="15" hidden="1" customHeight="1" x14ac:dyDescent="0.2">
      <c r="A1512" s="3" t="s">
        <v>289</v>
      </c>
      <c r="B1512" s="5">
        <v>45238</v>
      </c>
      <c r="C1512" s="3">
        <v>0.625</v>
      </c>
      <c r="D1512" s="5">
        <v>45238</v>
      </c>
      <c r="E1512" s="3">
        <v>0.66666666666666663</v>
      </c>
      <c r="F1512" t="b">
        <v>0</v>
      </c>
      <c r="G1512" s="3" t="s">
        <v>290</v>
      </c>
      <c r="H1512" s="3" t="s">
        <v>247</v>
      </c>
      <c r="I1512" t="b">
        <v>0</v>
      </c>
    </row>
    <row r="1513" spans="1:9" ht="15" hidden="1" customHeight="1" x14ac:dyDescent="0.2">
      <c r="A1513" s="3" t="s">
        <v>289</v>
      </c>
      <c r="B1513" s="5">
        <v>45239</v>
      </c>
      <c r="C1513" s="3">
        <v>0.66666666666666663</v>
      </c>
      <c r="D1513" s="5">
        <v>45239</v>
      </c>
      <c r="E1513" s="3">
        <v>0.70833333333333326</v>
      </c>
      <c r="F1513" t="b">
        <v>0</v>
      </c>
      <c r="G1513" s="3" t="s">
        <v>290</v>
      </c>
      <c r="H1513" s="3" t="s">
        <v>247</v>
      </c>
      <c r="I1513" t="b">
        <v>0</v>
      </c>
    </row>
    <row r="1514" spans="1:9" ht="15" hidden="1" customHeight="1" x14ac:dyDescent="0.2">
      <c r="A1514" s="6" t="s">
        <v>263</v>
      </c>
      <c r="B1514" s="5">
        <v>45194</v>
      </c>
      <c r="C1514" s="3">
        <v>0.625</v>
      </c>
      <c r="D1514" s="5">
        <v>45194</v>
      </c>
      <c r="E1514" s="3">
        <v>0.66666666666666663</v>
      </c>
      <c r="F1514" t="b">
        <v>0</v>
      </c>
      <c r="G1514" s="7" t="s">
        <v>264</v>
      </c>
      <c r="H1514" t="s">
        <v>242</v>
      </c>
      <c r="I1514" t="b">
        <v>0</v>
      </c>
    </row>
    <row r="1515" spans="1:9" ht="15" hidden="1" customHeight="1" x14ac:dyDescent="0.2">
      <c r="A1515" s="6" t="s">
        <v>294</v>
      </c>
      <c r="B1515" s="5">
        <v>45196</v>
      </c>
      <c r="C1515" s="3">
        <v>0.35416666666666669</v>
      </c>
      <c r="D1515" s="5">
        <v>45196</v>
      </c>
      <c r="E1515" s="3">
        <v>0.39583333333333337</v>
      </c>
      <c r="F1515" t="b">
        <v>0</v>
      </c>
      <c r="G1515" s="7" t="s">
        <v>295</v>
      </c>
      <c r="H1515" t="s">
        <v>247</v>
      </c>
      <c r="I1515" t="b">
        <v>0</v>
      </c>
    </row>
    <row r="1516" spans="1:9" ht="15" hidden="1" customHeight="1" x14ac:dyDescent="0.2">
      <c r="A1516" s="6" t="s">
        <v>294</v>
      </c>
      <c r="B1516" s="5">
        <v>45198</v>
      </c>
      <c r="C1516" s="3">
        <v>0.39583333333333331</v>
      </c>
      <c r="D1516" s="5">
        <v>45198</v>
      </c>
      <c r="E1516" s="3">
        <v>0.4375</v>
      </c>
      <c r="F1516" t="b">
        <v>0</v>
      </c>
      <c r="G1516" s="7" t="s">
        <v>295</v>
      </c>
      <c r="H1516" t="s">
        <v>247</v>
      </c>
      <c r="I1516" t="b">
        <v>0</v>
      </c>
    </row>
    <row r="1517" spans="1:9" ht="15" hidden="1" customHeight="1" x14ac:dyDescent="0.2">
      <c r="A1517" s="3" t="s">
        <v>294</v>
      </c>
      <c r="B1517" s="5">
        <v>45201</v>
      </c>
      <c r="C1517" s="3">
        <v>0.58333333333333337</v>
      </c>
      <c r="D1517" s="5">
        <v>45201</v>
      </c>
      <c r="E1517" s="3">
        <v>0.625</v>
      </c>
      <c r="F1517" t="b">
        <v>0</v>
      </c>
      <c r="G1517" s="3" t="s">
        <v>295</v>
      </c>
      <c r="H1517" s="3" t="s">
        <v>247</v>
      </c>
      <c r="I1517" t="b">
        <v>0</v>
      </c>
    </row>
    <row r="1518" spans="1:9" ht="15" hidden="1" customHeight="1" x14ac:dyDescent="0.2">
      <c r="A1518" s="3" t="s">
        <v>294</v>
      </c>
      <c r="B1518" s="5">
        <v>45203</v>
      </c>
      <c r="C1518" s="3">
        <v>0.35416666666666669</v>
      </c>
      <c r="D1518" s="5">
        <v>45203</v>
      </c>
      <c r="E1518" s="3">
        <v>0.39583333333333337</v>
      </c>
      <c r="F1518" t="b">
        <v>0</v>
      </c>
      <c r="G1518" s="3" t="s">
        <v>295</v>
      </c>
      <c r="H1518" s="3" t="s">
        <v>247</v>
      </c>
      <c r="I1518" t="b">
        <v>0</v>
      </c>
    </row>
    <row r="1519" spans="1:9" ht="15" hidden="1" customHeight="1" x14ac:dyDescent="0.2">
      <c r="A1519" s="3" t="s">
        <v>294</v>
      </c>
      <c r="B1519" s="5">
        <v>45205</v>
      </c>
      <c r="C1519" s="3">
        <v>0.39583333333333331</v>
      </c>
      <c r="D1519" s="5">
        <v>45205</v>
      </c>
      <c r="E1519" s="3">
        <v>0.4375</v>
      </c>
      <c r="F1519" t="b">
        <v>0</v>
      </c>
      <c r="G1519" s="3" t="s">
        <v>295</v>
      </c>
      <c r="H1519" s="3" t="s">
        <v>247</v>
      </c>
      <c r="I1519" t="b">
        <v>0</v>
      </c>
    </row>
    <row r="1520" spans="1:9" ht="15" hidden="1" customHeight="1" x14ac:dyDescent="0.2">
      <c r="A1520" s="3" t="s">
        <v>294</v>
      </c>
      <c r="B1520" s="5">
        <v>45208</v>
      </c>
      <c r="C1520" s="3">
        <v>0.58333333333333337</v>
      </c>
      <c r="D1520" s="5">
        <v>45208</v>
      </c>
      <c r="E1520" s="3">
        <v>0.625</v>
      </c>
      <c r="F1520" t="b">
        <v>0</v>
      </c>
      <c r="G1520" s="3" t="s">
        <v>295</v>
      </c>
      <c r="H1520" s="3" t="s">
        <v>247</v>
      </c>
      <c r="I1520" t="b">
        <v>0</v>
      </c>
    </row>
    <row r="1521" spans="1:9" ht="15" hidden="1" customHeight="1" x14ac:dyDescent="0.2">
      <c r="A1521" s="3" t="s">
        <v>294</v>
      </c>
      <c r="B1521" s="5">
        <v>45210</v>
      </c>
      <c r="C1521" s="3">
        <v>0.35416666666666669</v>
      </c>
      <c r="D1521" s="5">
        <v>45210</v>
      </c>
      <c r="E1521" s="3">
        <v>0.39583333333333337</v>
      </c>
      <c r="F1521" t="b">
        <v>0</v>
      </c>
      <c r="G1521" s="3" t="s">
        <v>295</v>
      </c>
      <c r="H1521" s="3" t="s">
        <v>247</v>
      </c>
      <c r="I1521" t="b">
        <v>0</v>
      </c>
    </row>
    <row r="1522" spans="1:9" ht="15" hidden="1" customHeight="1" x14ac:dyDescent="0.2">
      <c r="A1522" s="3" t="s">
        <v>294</v>
      </c>
      <c r="B1522" s="5">
        <v>45212</v>
      </c>
      <c r="C1522" s="3">
        <v>0.39583333333333331</v>
      </c>
      <c r="D1522" s="5">
        <v>45212</v>
      </c>
      <c r="E1522" s="3">
        <v>0.4375</v>
      </c>
      <c r="F1522" t="b">
        <v>0</v>
      </c>
      <c r="G1522" s="3" t="s">
        <v>295</v>
      </c>
      <c r="H1522" s="3" t="s">
        <v>247</v>
      </c>
      <c r="I1522" t="b">
        <v>0</v>
      </c>
    </row>
    <row r="1523" spans="1:9" ht="15" hidden="1" customHeight="1" x14ac:dyDescent="0.2">
      <c r="A1523" s="3" t="s">
        <v>294</v>
      </c>
      <c r="B1523" s="5">
        <v>45215</v>
      </c>
      <c r="C1523" s="3">
        <v>0.58333333333333337</v>
      </c>
      <c r="D1523" s="5">
        <v>45215</v>
      </c>
      <c r="E1523" s="3">
        <v>0.625</v>
      </c>
      <c r="F1523" t="b">
        <v>0</v>
      </c>
      <c r="G1523" s="3" t="s">
        <v>295</v>
      </c>
      <c r="H1523" s="3" t="s">
        <v>247</v>
      </c>
      <c r="I1523" t="b">
        <v>0</v>
      </c>
    </row>
    <row r="1524" spans="1:9" ht="15" hidden="1" customHeight="1" x14ac:dyDescent="0.2">
      <c r="A1524" s="3" t="s">
        <v>294</v>
      </c>
      <c r="B1524" s="5">
        <v>45217</v>
      </c>
      <c r="C1524" s="3">
        <v>0.35416666666666669</v>
      </c>
      <c r="D1524" s="5">
        <v>45217</v>
      </c>
      <c r="E1524" s="3">
        <v>0.39583333333333337</v>
      </c>
      <c r="F1524" t="b">
        <v>0</v>
      </c>
      <c r="G1524" s="3" t="s">
        <v>295</v>
      </c>
      <c r="H1524" s="3" t="s">
        <v>247</v>
      </c>
      <c r="I1524" t="b">
        <v>0</v>
      </c>
    </row>
    <row r="1525" spans="1:9" ht="15" hidden="1" customHeight="1" x14ac:dyDescent="0.2">
      <c r="A1525" s="3" t="s">
        <v>294</v>
      </c>
      <c r="B1525" s="5">
        <v>45219</v>
      </c>
      <c r="C1525" s="3">
        <v>0.39583333333333331</v>
      </c>
      <c r="D1525" s="5">
        <v>45219</v>
      </c>
      <c r="E1525" s="3">
        <v>0.4375</v>
      </c>
      <c r="F1525" t="b">
        <v>0</v>
      </c>
      <c r="G1525" s="3" t="s">
        <v>295</v>
      </c>
      <c r="H1525" s="3" t="s">
        <v>247</v>
      </c>
      <c r="I1525" t="b">
        <v>0</v>
      </c>
    </row>
    <row r="1526" spans="1:9" ht="15" hidden="1" customHeight="1" x14ac:dyDescent="0.2">
      <c r="A1526" s="3" t="s">
        <v>294</v>
      </c>
      <c r="B1526" s="5">
        <v>45222</v>
      </c>
      <c r="C1526" s="3">
        <v>0.58333333333333337</v>
      </c>
      <c r="D1526" s="5">
        <v>45222</v>
      </c>
      <c r="E1526" s="3">
        <v>0.625</v>
      </c>
      <c r="F1526" t="b">
        <v>0</v>
      </c>
      <c r="G1526" s="3" t="s">
        <v>295</v>
      </c>
      <c r="H1526" s="3" t="s">
        <v>247</v>
      </c>
      <c r="I1526" t="b">
        <v>0</v>
      </c>
    </row>
    <row r="1527" spans="1:9" ht="15" hidden="1" customHeight="1" x14ac:dyDescent="0.2">
      <c r="A1527" s="3" t="s">
        <v>294</v>
      </c>
      <c r="B1527" s="5">
        <v>45224</v>
      </c>
      <c r="C1527" s="3">
        <v>0.35416666666666669</v>
      </c>
      <c r="D1527" s="5">
        <v>45224</v>
      </c>
      <c r="E1527" s="3">
        <v>0.39583333333333337</v>
      </c>
      <c r="F1527" t="b">
        <v>0</v>
      </c>
      <c r="G1527" s="3" t="s">
        <v>295</v>
      </c>
      <c r="H1527" s="3" t="s">
        <v>247</v>
      </c>
      <c r="I1527" t="b">
        <v>0</v>
      </c>
    </row>
    <row r="1528" spans="1:9" ht="15" hidden="1" customHeight="1" x14ac:dyDescent="0.2">
      <c r="A1528" s="3" t="s">
        <v>294</v>
      </c>
      <c r="B1528" s="5">
        <v>45226</v>
      </c>
      <c r="C1528" s="3">
        <v>0.39583333333333331</v>
      </c>
      <c r="D1528" s="5">
        <v>45226</v>
      </c>
      <c r="E1528" s="3">
        <v>0.4375</v>
      </c>
      <c r="F1528" t="b">
        <v>0</v>
      </c>
      <c r="G1528" s="3" t="s">
        <v>295</v>
      </c>
      <c r="H1528" s="3" t="s">
        <v>247</v>
      </c>
      <c r="I1528" t="b">
        <v>0</v>
      </c>
    </row>
    <row r="1529" spans="1:9" ht="15" hidden="1" customHeight="1" x14ac:dyDescent="0.2">
      <c r="A1529" s="3" t="s">
        <v>294</v>
      </c>
      <c r="B1529" s="5">
        <v>45229</v>
      </c>
      <c r="C1529" s="3">
        <v>0.58333333333333337</v>
      </c>
      <c r="D1529" s="5">
        <v>45229</v>
      </c>
      <c r="E1529" s="3">
        <v>0.625</v>
      </c>
      <c r="F1529" t="b">
        <v>0</v>
      </c>
      <c r="G1529" s="3" t="s">
        <v>295</v>
      </c>
      <c r="H1529" s="3" t="s">
        <v>247</v>
      </c>
      <c r="I1529" t="b">
        <v>0</v>
      </c>
    </row>
    <row r="1530" spans="1:9" ht="15" hidden="1" customHeight="1" x14ac:dyDescent="0.2">
      <c r="A1530" s="3" t="s">
        <v>294</v>
      </c>
      <c r="B1530" s="5">
        <v>45231</v>
      </c>
      <c r="C1530" s="3">
        <v>0.35416666666666669</v>
      </c>
      <c r="D1530" s="5">
        <v>45231</v>
      </c>
      <c r="E1530" s="3">
        <v>0.39583333333333337</v>
      </c>
      <c r="F1530" t="b">
        <v>0</v>
      </c>
      <c r="G1530" s="3" t="s">
        <v>295</v>
      </c>
      <c r="H1530" s="3" t="s">
        <v>247</v>
      </c>
      <c r="I1530" t="b">
        <v>0</v>
      </c>
    </row>
    <row r="1531" spans="1:9" ht="15" hidden="1" customHeight="1" x14ac:dyDescent="0.2">
      <c r="A1531" s="3" t="s">
        <v>294</v>
      </c>
      <c r="B1531" s="5">
        <v>45233</v>
      </c>
      <c r="C1531" s="3">
        <v>0.39583333333333331</v>
      </c>
      <c r="D1531" s="5">
        <v>45233</v>
      </c>
      <c r="E1531" s="3">
        <v>0.4375</v>
      </c>
      <c r="F1531" t="b">
        <v>0</v>
      </c>
      <c r="G1531" s="3" t="s">
        <v>295</v>
      </c>
      <c r="H1531" s="3" t="s">
        <v>247</v>
      </c>
      <c r="I1531" t="b">
        <v>0</v>
      </c>
    </row>
    <row r="1532" spans="1:9" ht="15" hidden="1" customHeight="1" x14ac:dyDescent="0.2">
      <c r="A1532" s="3" t="s">
        <v>294</v>
      </c>
      <c r="B1532" s="5">
        <v>45236</v>
      </c>
      <c r="C1532" s="3">
        <v>0.58333333333333337</v>
      </c>
      <c r="D1532" s="5">
        <v>45236</v>
      </c>
      <c r="E1532" s="3">
        <v>0.625</v>
      </c>
      <c r="F1532" t="b">
        <v>0</v>
      </c>
      <c r="G1532" s="3" t="s">
        <v>295</v>
      </c>
      <c r="H1532" s="3" t="s">
        <v>247</v>
      </c>
      <c r="I1532" t="b">
        <v>0</v>
      </c>
    </row>
    <row r="1533" spans="1:9" ht="15" hidden="1" customHeight="1" x14ac:dyDescent="0.2">
      <c r="A1533" s="3" t="s">
        <v>294</v>
      </c>
      <c r="B1533" s="5">
        <v>45238</v>
      </c>
      <c r="C1533" s="3">
        <v>0.35416666666666669</v>
      </c>
      <c r="D1533" s="5">
        <v>45238</v>
      </c>
      <c r="E1533" s="3">
        <v>0.39583333333333337</v>
      </c>
      <c r="F1533" t="b">
        <v>0</v>
      </c>
      <c r="G1533" s="3" t="s">
        <v>295</v>
      </c>
      <c r="H1533" s="3" t="s">
        <v>247</v>
      </c>
      <c r="I1533" t="b">
        <v>0</v>
      </c>
    </row>
    <row r="1534" spans="1:9" ht="15" hidden="1" customHeight="1" x14ac:dyDescent="0.2">
      <c r="A1534" s="3" t="s">
        <v>294</v>
      </c>
      <c r="B1534" s="5">
        <v>45240</v>
      </c>
      <c r="C1534" s="3">
        <v>0.39583333333333331</v>
      </c>
      <c r="D1534" s="5">
        <v>45240</v>
      </c>
      <c r="E1534" s="3">
        <v>0.4375</v>
      </c>
      <c r="F1534" t="b">
        <v>0</v>
      </c>
      <c r="G1534" s="3" t="s">
        <v>295</v>
      </c>
      <c r="H1534" s="3" t="s">
        <v>247</v>
      </c>
      <c r="I1534" t="b">
        <v>0</v>
      </c>
    </row>
    <row r="1535" spans="1:9" ht="15" hidden="1" customHeight="1" x14ac:dyDescent="0.2">
      <c r="A1535" s="6" t="s">
        <v>256</v>
      </c>
      <c r="B1535" s="5">
        <v>45194</v>
      </c>
      <c r="C1535" s="3">
        <v>0.625</v>
      </c>
      <c r="D1535" s="5">
        <v>45194</v>
      </c>
      <c r="E1535" s="3">
        <v>0.66666666666666663</v>
      </c>
      <c r="F1535" t="b">
        <v>0</v>
      </c>
      <c r="G1535" s="6" t="s">
        <v>257</v>
      </c>
      <c r="H1535" t="s">
        <v>258</v>
      </c>
      <c r="I1535" t="b">
        <v>0</v>
      </c>
    </row>
    <row r="1536" spans="1:9" ht="15" hidden="1" customHeight="1" x14ac:dyDescent="0.2">
      <c r="A1536" t="s">
        <v>218</v>
      </c>
      <c r="B1536" s="5">
        <v>45196</v>
      </c>
      <c r="C1536" s="3">
        <v>0.35416666666666669</v>
      </c>
      <c r="D1536" s="5">
        <v>45196</v>
      </c>
      <c r="E1536" s="3">
        <v>0.39583333333333337</v>
      </c>
      <c r="F1536" t="b">
        <v>0</v>
      </c>
      <c r="G1536" s="4" t="s">
        <v>219</v>
      </c>
      <c r="H1536" t="s">
        <v>127</v>
      </c>
      <c r="I1536" t="b">
        <v>0</v>
      </c>
    </row>
    <row r="1537" spans="1:9" ht="15" hidden="1" customHeight="1" x14ac:dyDescent="0.2">
      <c r="A1537" t="s">
        <v>218</v>
      </c>
      <c r="B1537" s="5">
        <v>45198</v>
      </c>
      <c r="C1537" s="3">
        <v>0.39583333333333331</v>
      </c>
      <c r="D1537" s="5">
        <v>45198</v>
      </c>
      <c r="E1537" s="3">
        <v>0.4375</v>
      </c>
      <c r="F1537" t="b">
        <v>0</v>
      </c>
      <c r="G1537" s="4" t="s">
        <v>219</v>
      </c>
      <c r="H1537" t="s">
        <v>127</v>
      </c>
      <c r="I1537" t="b">
        <v>0</v>
      </c>
    </row>
    <row r="1538" spans="1:9" ht="15" hidden="1" customHeight="1" x14ac:dyDescent="0.2">
      <c r="A1538" t="s">
        <v>218</v>
      </c>
      <c r="B1538" s="5">
        <v>45201</v>
      </c>
      <c r="C1538" s="3">
        <v>0.39583333333333331</v>
      </c>
      <c r="D1538" s="5">
        <v>45201</v>
      </c>
      <c r="E1538" s="3">
        <v>0.4375</v>
      </c>
      <c r="F1538" t="b">
        <v>0</v>
      </c>
      <c r="G1538" s="4" t="s">
        <v>219</v>
      </c>
      <c r="H1538" t="s">
        <v>127</v>
      </c>
      <c r="I1538" t="b">
        <v>0</v>
      </c>
    </row>
    <row r="1539" spans="1:9" ht="15" hidden="1" customHeight="1" x14ac:dyDescent="0.2">
      <c r="A1539" t="s">
        <v>218</v>
      </c>
      <c r="B1539" s="5">
        <v>45203</v>
      </c>
      <c r="C1539" s="3">
        <v>0.35416666666666669</v>
      </c>
      <c r="D1539" s="5">
        <v>45203</v>
      </c>
      <c r="E1539" s="3">
        <v>0.39583333333333337</v>
      </c>
      <c r="F1539" t="b">
        <v>0</v>
      </c>
      <c r="G1539" s="4" t="s">
        <v>219</v>
      </c>
      <c r="H1539" t="s">
        <v>127</v>
      </c>
      <c r="I1539" t="b">
        <v>0</v>
      </c>
    </row>
    <row r="1540" spans="1:9" ht="15" hidden="1" customHeight="1" x14ac:dyDescent="0.2">
      <c r="A1540" t="s">
        <v>218</v>
      </c>
      <c r="B1540" s="5">
        <v>45205</v>
      </c>
      <c r="C1540" s="3">
        <v>0.39583333333333331</v>
      </c>
      <c r="D1540" s="5">
        <v>45205</v>
      </c>
      <c r="E1540" s="3">
        <v>0.4375</v>
      </c>
      <c r="F1540" t="b">
        <v>0</v>
      </c>
      <c r="G1540" s="4" t="s">
        <v>219</v>
      </c>
      <c r="H1540" t="s">
        <v>127</v>
      </c>
      <c r="I1540" t="b">
        <v>0</v>
      </c>
    </row>
    <row r="1541" spans="1:9" ht="15" hidden="1" customHeight="1" x14ac:dyDescent="0.2">
      <c r="A1541" t="s">
        <v>218</v>
      </c>
      <c r="B1541" s="5">
        <v>45208</v>
      </c>
      <c r="C1541" s="3">
        <v>0.39583333333333331</v>
      </c>
      <c r="D1541" s="5">
        <v>45208</v>
      </c>
      <c r="E1541" s="3">
        <v>0.4375</v>
      </c>
      <c r="F1541" t="b">
        <v>0</v>
      </c>
      <c r="G1541" s="4" t="s">
        <v>219</v>
      </c>
      <c r="H1541" t="s">
        <v>127</v>
      </c>
      <c r="I1541" t="b">
        <v>0</v>
      </c>
    </row>
    <row r="1542" spans="1:9" ht="15" hidden="1" customHeight="1" x14ac:dyDescent="0.2">
      <c r="A1542" t="s">
        <v>218</v>
      </c>
      <c r="B1542" s="5">
        <v>45210</v>
      </c>
      <c r="C1542" s="3">
        <v>0.35416666666666669</v>
      </c>
      <c r="D1542" s="5">
        <v>45210</v>
      </c>
      <c r="E1542" s="3">
        <v>0.39583333333333337</v>
      </c>
      <c r="F1542" t="b">
        <v>0</v>
      </c>
      <c r="G1542" s="4" t="s">
        <v>219</v>
      </c>
      <c r="H1542" t="s">
        <v>127</v>
      </c>
      <c r="I1542" t="b">
        <v>0</v>
      </c>
    </row>
    <row r="1543" spans="1:9" ht="15" hidden="1" customHeight="1" x14ac:dyDescent="0.2">
      <c r="A1543" t="s">
        <v>218</v>
      </c>
      <c r="B1543" s="5">
        <v>45212</v>
      </c>
      <c r="C1543" s="3">
        <v>0.39583333333333331</v>
      </c>
      <c r="D1543" s="5">
        <v>45212</v>
      </c>
      <c r="E1543" s="3">
        <v>0.4375</v>
      </c>
      <c r="F1543" t="b">
        <v>0</v>
      </c>
      <c r="G1543" s="4" t="s">
        <v>219</v>
      </c>
      <c r="H1543" t="s">
        <v>127</v>
      </c>
      <c r="I1543" t="b">
        <v>0</v>
      </c>
    </row>
    <row r="1544" spans="1:9" ht="15" hidden="1" customHeight="1" x14ac:dyDescent="0.2">
      <c r="A1544" t="s">
        <v>218</v>
      </c>
      <c r="B1544" s="5">
        <v>45215</v>
      </c>
      <c r="C1544" s="3">
        <v>0.39583333333333331</v>
      </c>
      <c r="D1544" s="5">
        <v>45215</v>
      </c>
      <c r="E1544" s="3">
        <v>0.4375</v>
      </c>
      <c r="F1544" t="b">
        <v>0</v>
      </c>
      <c r="G1544" s="4" t="s">
        <v>219</v>
      </c>
      <c r="H1544" t="s">
        <v>127</v>
      </c>
      <c r="I1544" t="b">
        <v>0</v>
      </c>
    </row>
    <row r="1545" spans="1:9" ht="15" hidden="1" customHeight="1" x14ac:dyDescent="0.2">
      <c r="A1545" t="s">
        <v>218</v>
      </c>
      <c r="B1545" s="5">
        <v>45217</v>
      </c>
      <c r="C1545" s="3">
        <v>0.35416666666666669</v>
      </c>
      <c r="D1545" s="5">
        <v>45217</v>
      </c>
      <c r="E1545" s="3">
        <v>0.39583333333333337</v>
      </c>
      <c r="F1545" t="b">
        <v>0</v>
      </c>
      <c r="G1545" s="4" t="s">
        <v>219</v>
      </c>
      <c r="H1545" t="s">
        <v>127</v>
      </c>
      <c r="I1545" t="b">
        <v>0</v>
      </c>
    </row>
    <row r="1546" spans="1:9" ht="15" hidden="1" customHeight="1" x14ac:dyDescent="0.2">
      <c r="A1546" t="s">
        <v>218</v>
      </c>
      <c r="B1546" s="5">
        <v>45219</v>
      </c>
      <c r="C1546" s="3">
        <v>0.39583333333333331</v>
      </c>
      <c r="D1546" s="5">
        <v>45219</v>
      </c>
      <c r="E1546" s="3">
        <v>0.4375</v>
      </c>
      <c r="F1546" t="b">
        <v>0</v>
      </c>
      <c r="G1546" s="4" t="s">
        <v>219</v>
      </c>
      <c r="H1546" t="s">
        <v>127</v>
      </c>
      <c r="I1546" t="b">
        <v>0</v>
      </c>
    </row>
    <row r="1547" spans="1:9" ht="15" hidden="1" customHeight="1" x14ac:dyDescent="0.2">
      <c r="A1547" t="s">
        <v>218</v>
      </c>
      <c r="B1547" s="5">
        <v>45222</v>
      </c>
      <c r="C1547" s="3">
        <v>0.39583333333333331</v>
      </c>
      <c r="D1547" s="5">
        <v>45222</v>
      </c>
      <c r="E1547" s="3">
        <v>0.4375</v>
      </c>
      <c r="F1547" t="b">
        <v>0</v>
      </c>
      <c r="G1547" s="4" t="s">
        <v>219</v>
      </c>
      <c r="H1547" t="s">
        <v>127</v>
      </c>
      <c r="I1547" t="b">
        <v>0</v>
      </c>
    </row>
    <row r="1548" spans="1:9" ht="15" hidden="1" customHeight="1" x14ac:dyDescent="0.2">
      <c r="A1548" t="s">
        <v>218</v>
      </c>
      <c r="B1548" s="5">
        <v>45224</v>
      </c>
      <c r="C1548" s="3">
        <v>0.35416666666666669</v>
      </c>
      <c r="D1548" s="5">
        <v>45224</v>
      </c>
      <c r="E1548" s="3">
        <v>0.39583333333333337</v>
      </c>
      <c r="F1548" t="b">
        <v>0</v>
      </c>
      <c r="G1548" s="4" t="s">
        <v>219</v>
      </c>
      <c r="H1548" t="s">
        <v>127</v>
      </c>
      <c r="I1548" t="b">
        <v>0</v>
      </c>
    </row>
    <row r="1549" spans="1:9" ht="15" hidden="1" customHeight="1" x14ac:dyDescent="0.2">
      <c r="A1549" t="s">
        <v>218</v>
      </c>
      <c r="B1549" s="5">
        <v>45226</v>
      </c>
      <c r="C1549" s="3">
        <v>0.39583333333333331</v>
      </c>
      <c r="D1549" s="5">
        <v>45226</v>
      </c>
      <c r="E1549" s="3">
        <v>0.4375</v>
      </c>
      <c r="F1549" t="b">
        <v>0</v>
      </c>
      <c r="G1549" s="4" t="s">
        <v>219</v>
      </c>
      <c r="H1549" t="s">
        <v>127</v>
      </c>
      <c r="I1549" t="b">
        <v>0</v>
      </c>
    </row>
    <row r="1550" spans="1:9" ht="15" hidden="1" customHeight="1" x14ac:dyDescent="0.2">
      <c r="A1550" t="s">
        <v>218</v>
      </c>
      <c r="B1550" s="5">
        <v>45229</v>
      </c>
      <c r="C1550" s="3">
        <v>0.39583333333333331</v>
      </c>
      <c r="D1550" s="5">
        <v>45229</v>
      </c>
      <c r="E1550" s="3">
        <v>0.4375</v>
      </c>
      <c r="F1550" t="b">
        <v>0</v>
      </c>
      <c r="G1550" s="4" t="s">
        <v>219</v>
      </c>
      <c r="H1550" t="s">
        <v>127</v>
      </c>
      <c r="I1550" t="b">
        <v>0</v>
      </c>
    </row>
    <row r="1551" spans="1:9" ht="15" hidden="1" customHeight="1" x14ac:dyDescent="0.2">
      <c r="A1551" t="s">
        <v>218</v>
      </c>
      <c r="B1551" s="5">
        <v>45231</v>
      </c>
      <c r="C1551" s="3">
        <v>0.35416666666666669</v>
      </c>
      <c r="D1551" s="5">
        <v>45231</v>
      </c>
      <c r="E1551" s="3">
        <v>0.39583333333333337</v>
      </c>
      <c r="F1551" t="b">
        <v>0</v>
      </c>
      <c r="G1551" s="4" t="s">
        <v>219</v>
      </c>
      <c r="H1551" t="s">
        <v>127</v>
      </c>
      <c r="I1551" t="b">
        <v>0</v>
      </c>
    </row>
    <row r="1552" spans="1:9" ht="15" hidden="1" customHeight="1" x14ac:dyDescent="0.2">
      <c r="A1552" t="s">
        <v>218</v>
      </c>
      <c r="B1552" s="5">
        <v>45233</v>
      </c>
      <c r="C1552" s="3">
        <v>0.39583333333333331</v>
      </c>
      <c r="D1552" s="5">
        <v>45233</v>
      </c>
      <c r="E1552" s="3">
        <v>0.4375</v>
      </c>
      <c r="F1552" t="b">
        <v>0</v>
      </c>
      <c r="G1552" s="4" t="s">
        <v>219</v>
      </c>
      <c r="H1552" t="s">
        <v>127</v>
      </c>
      <c r="I1552" t="b">
        <v>0</v>
      </c>
    </row>
    <row r="1553" spans="1:9" ht="15" hidden="1" customHeight="1" x14ac:dyDescent="0.2">
      <c r="A1553" t="s">
        <v>218</v>
      </c>
      <c r="B1553" s="5">
        <v>45236</v>
      </c>
      <c r="C1553" s="3">
        <v>0.39583333333333331</v>
      </c>
      <c r="D1553" s="5">
        <v>45236</v>
      </c>
      <c r="E1553" s="3">
        <v>0.4375</v>
      </c>
      <c r="F1553" t="b">
        <v>0</v>
      </c>
      <c r="G1553" s="4" t="s">
        <v>219</v>
      </c>
      <c r="H1553" t="s">
        <v>127</v>
      </c>
      <c r="I1553" t="b">
        <v>0</v>
      </c>
    </row>
    <row r="1554" spans="1:9" ht="15" hidden="1" customHeight="1" x14ac:dyDescent="0.2">
      <c r="A1554" t="s">
        <v>218</v>
      </c>
      <c r="B1554" s="5">
        <v>45238</v>
      </c>
      <c r="C1554" s="3">
        <v>0.35416666666666669</v>
      </c>
      <c r="D1554" s="5">
        <v>45238</v>
      </c>
      <c r="E1554" s="3">
        <v>0.39583333333333337</v>
      </c>
      <c r="F1554" t="b">
        <v>0</v>
      </c>
      <c r="G1554" s="4" t="s">
        <v>219</v>
      </c>
      <c r="H1554" t="s">
        <v>127</v>
      </c>
      <c r="I1554" t="b">
        <v>0</v>
      </c>
    </row>
    <row r="1555" spans="1:9" ht="15" hidden="1" customHeight="1" x14ac:dyDescent="0.2">
      <c r="A1555" t="s">
        <v>218</v>
      </c>
      <c r="B1555" s="5">
        <v>45240</v>
      </c>
      <c r="C1555" s="3">
        <v>0.39583333333333331</v>
      </c>
      <c r="D1555" s="5">
        <v>45240</v>
      </c>
      <c r="E1555" s="3">
        <v>0.4375</v>
      </c>
      <c r="F1555" t="b">
        <v>0</v>
      </c>
      <c r="G1555" s="4" t="s">
        <v>219</v>
      </c>
      <c r="H1555" t="s">
        <v>127</v>
      </c>
      <c r="I1555" t="b">
        <v>0</v>
      </c>
    </row>
    <row r="1556" spans="1:9" ht="15" hidden="1" customHeight="1" x14ac:dyDescent="0.2">
      <c r="A1556" t="s">
        <v>121</v>
      </c>
      <c r="B1556" s="5">
        <v>45195</v>
      </c>
      <c r="C1556" s="3">
        <v>0.35416666666666669</v>
      </c>
      <c r="D1556" s="5">
        <v>45195</v>
      </c>
      <c r="E1556" s="3">
        <v>0.39583333333333337</v>
      </c>
      <c r="F1556" t="b">
        <v>0</v>
      </c>
      <c r="G1556" s="4" t="s">
        <v>122</v>
      </c>
      <c r="H1556" t="s">
        <v>118</v>
      </c>
      <c r="I1556" t="b">
        <v>0</v>
      </c>
    </row>
    <row r="1557" spans="1:9" ht="15" hidden="1" customHeight="1" x14ac:dyDescent="0.2">
      <c r="A1557" t="s">
        <v>121</v>
      </c>
      <c r="B1557" s="5">
        <v>45197</v>
      </c>
      <c r="C1557" s="3">
        <v>0.47916666666666669</v>
      </c>
      <c r="D1557" s="5">
        <v>45197</v>
      </c>
      <c r="E1557" s="3">
        <v>0.52083333333333337</v>
      </c>
      <c r="F1557" t="b">
        <v>0</v>
      </c>
      <c r="G1557" s="4" t="s">
        <v>122</v>
      </c>
      <c r="H1557" t="s">
        <v>118</v>
      </c>
      <c r="I1557" t="b">
        <v>0</v>
      </c>
    </row>
    <row r="1558" spans="1:9" ht="15" hidden="1" customHeight="1" x14ac:dyDescent="0.2">
      <c r="A1558" t="s">
        <v>121</v>
      </c>
      <c r="B1558" s="5">
        <v>45198</v>
      </c>
      <c r="C1558" s="3">
        <v>0.39583333333333331</v>
      </c>
      <c r="D1558" s="5">
        <v>45198</v>
      </c>
      <c r="E1558" s="3">
        <v>0.4375</v>
      </c>
      <c r="F1558" t="b">
        <v>0</v>
      </c>
      <c r="G1558" s="4" t="s">
        <v>122</v>
      </c>
      <c r="H1558" t="s">
        <v>118</v>
      </c>
      <c r="I1558" t="b">
        <v>0</v>
      </c>
    </row>
    <row r="1559" spans="1:9" ht="15" hidden="1" customHeight="1" x14ac:dyDescent="0.2">
      <c r="A1559" t="s">
        <v>121</v>
      </c>
      <c r="B1559" s="5">
        <v>45202</v>
      </c>
      <c r="C1559" s="3">
        <v>0.35416666666666669</v>
      </c>
      <c r="D1559" s="5">
        <v>45202</v>
      </c>
      <c r="E1559" s="3">
        <v>0.39583333333333337</v>
      </c>
      <c r="F1559" t="b">
        <v>0</v>
      </c>
      <c r="G1559" s="4" t="s">
        <v>122</v>
      </c>
      <c r="H1559" t="s">
        <v>118</v>
      </c>
      <c r="I1559" t="b">
        <v>0</v>
      </c>
    </row>
    <row r="1560" spans="1:9" ht="15" hidden="1" customHeight="1" x14ac:dyDescent="0.2">
      <c r="A1560" t="s">
        <v>121</v>
      </c>
      <c r="B1560" s="5">
        <v>45204</v>
      </c>
      <c r="C1560" s="3">
        <v>0.47916666666666669</v>
      </c>
      <c r="D1560" s="5">
        <v>45204</v>
      </c>
      <c r="E1560" s="3">
        <v>0.52083333333333337</v>
      </c>
      <c r="F1560" t="b">
        <v>0</v>
      </c>
      <c r="G1560" s="4" t="s">
        <v>122</v>
      </c>
      <c r="H1560" t="s">
        <v>118</v>
      </c>
      <c r="I1560" t="b">
        <v>0</v>
      </c>
    </row>
    <row r="1561" spans="1:9" ht="15" hidden="1" customHeight="1" x14ac:dyDescent="0.2">
      <c r="A1561" t="s">
        <v>121</v>
      </c>
      <c r="B1561" s="5">
        <v>45205</v>
      </c>
      <c r="C1561" s="3">
        <v>0.39583333333333331</v>
      </c>
      <c r="D1561" s="5">
        <v>45205</v>
      </c>
      <c r="E1561" s="3">
        <v>0.4375</v>
      </c>
      <c r="F1561" t="b">
        <v>0</v>
      </c>
      <c r="G1561" s="4" t="s">
        <v>122</v>
      </c>
      <c r="H1561" t="s">
        <v>118</v>
      </c>
      <c r="I1561" t="b">
        <v>0</v>
      </c>
    </row>
    <row r="1562" spans="1:9" ht="15" hidden="1" customHeight="1" x14ac:dyDescent="0.2">
      <c r="A1562" t="s">
        <v>121</v>
      </c>
      <c r="B1562" s="5">
        <v>45209</v>
      </c>
      <c r="C1562" s="3">
        <v>0.35416666666666669</v>
      </c>
      <c r="D1562" s="5">
        <v>45209</v>
      </c>
      <c r="E1562" s="3">
        <v>0.39583333333333337</v>
      </c>
      <c r="F1562" t="b">
        <v>0</v>
      </c>
      <c r="G1562" s="4" t="s">
        <v>122</v>
      </c>
      <c r="H1562" t="s">
        <v>118</v>
      </c>
      <c r="I1562" t="b">
        <v>0</v>
      </c>
    </row>
    <row r="1563" spans="1:9" ht="15" hidden="1" customHeight="1" x14ac:dyDescent="0.2">
      <c r="A1563" t="s">
        <v>121</v>
      </c>
      <c r="B1563" s="5">
        <v>45211</v>
      </c>
      <c r="C1563" s="3">
        <v>0.47916666666666669</v>
      </c>
      <c r="D1563" s="5">
        <v>45211</v>
      </c>
      <c r="E1563" s="3">
        <v>0.52083333333333337</v>
      </c>
      <c r="F1563" t="b">
        <v>0</v>
      </c>
      <c r="G1563" s="4" t="s">
        <v>122</v>
      </c>
      <c r="H1563" t="s">
        <v>118</v>
      </c>
      <c r="I1563" t="b">
        <v>0</v>
      </c>
    </row>
    <row r="1564" spans="1:9" ht="15" hidden="1" customHeight="1" x14ac:dyDescent="0.2">
      <c r="A1564" t="s">
        <v>121</v>
      </c>
      <c r="B1564" s="5">
        <v>45212</v>
      </c>
      <c r="C1564" s="3">
        <v>0.39583333333333331</v>
      </c>
      <c r="D1564" s="5">
        <v>45212</v>
      </c>
      <c r="E1564" s="3">
        <v>0.4375</v>
      </c>
      <c r="F1564" t="b">
        <v>0</v>
      </c>
      <c r="G1564" s="4" t="s">
        <v>122</v>
      </c>
      <c r="H1564" t="s">
        <v>118</v>
      </c>
      <c r="I1564" t="b">
        <v>0</v>
      </c>
    </row>
    <row r="1565" spans="1:9" ht="15" hidden="1" customHeight="1" x14ac:dyDescent="0.2">
      <c r="A1565" t="s">
        <v>121</v>
      </c>
      <c r="B1565" s="5">
        <v>45216</v>
      </c>
      <c r="C1565" s="3">
        <v>0.35416666666666669</v>
      </c>
      <c r="D1565" s="5">
        <v>45216</v>
      </c>
      <c r="E1565" s="3">
        <v>0.39583333333333337</v>
      </c>
      <c r="F1565" t="b">
        <v>0</v>
      </c>
      <c r="G1565" s="4" t="s">
        <v>122</v>
      </c>
      <c r="H1565" t="s">
        <v>118</v>
      </c>
      <c r="I1565" t="b">
        <v>0</v>
      </c>
    </row>
    <row r="1566" spans="1:9" ht="15" hidden="1" customHeight="1" x14ac:dyDescent="0.2">
      <c r="A1566" t="s">
        <v>121</v>
      </c>
      <c r="B1566" s="5">
        <v>45218</v>
      </c>
      <c r="C1566" s="3">
        <v>0.47916666666666669</v>
      </c>
      <c r="D1566" s="5">
        <v>45218</v>
      </c>
      <c r="E1566" s="3">
        <v>0.52083333333333337</v>
      </c>
      <c r="F1566" t="b">
        <v>0</v>
      </c>
      <c r="G1566" s="4" t="s">
        <v>122</v>
      </c>
      <c r="H1566" t="s">
        <v>118</v>
      </c>
      <c r="I1566" t="b">
        <v>0</v>
      </c>
    </row>
    <row r="1567" spans="1:9" ht="15" hidden="1" customHeight="1" x14ac:dyDescent="0.2">
      <c r="A1567" t="s">
        <v>121</v>
      </c>
      <c r="B1567" s="5">
        <v>45219</v>
      </c>
      <c r="C1567" s="3">
        <v>0.39583333333333331</v>
      </c>
      <c r="D1567" s="5">
        <v>45219</v>
      </c>
      <c r="E1567" s="3">
        <v>0.4375</v>
      </c>
      <c r="F1567" t="b">
        <v>0</v>
      </c>
      <c r="G1567" s="4" t="s">
        <v>122</v>
      </c>
      <c r="H1567" t="s">
        <v>118</v>
      </c>
      <c r="I1567" t="b">
        <v>0</v>
      </c>
    </row>
    <row r="1568" spans="1:9" ht="15" hidden="1" customHeight="1" x14ac:dyDescent="0.2">
      <c r="A1568" t="s">
        <v>121</v>
      </c>
      <c r="B1568" s="5">
        <v>45223</v>
      </c>
      <c r="C1568" s="3">
        <v>0.35416666666666669</v>
      </c>
      <c r="D1568" s="5">
        <v>45223</v>
      </c>
      <c r="E1568" s="3">
        <v>0.39583333333333337</v>
      </c>
      <c r="F1568" t="b">
        <v>0</v>
      </c>
      <c r="G1568" s="4" t="s">
        <v>122</v>
      </c>
      <c r="H1568" t="s">
        <v>118</v>
      </c>
      <c r="I1568" t="b">
        <v>0</v>
      </c>
    </row>
    <row r="1569" spans="1:9" ht="15" hidden="1" customHeight="1" x14ac:dyDescent="0.2">
      <c r="A1569" t="s">
        <v>121</v>
      </c>
      <c r="B1569" s="5">
        <v>45225</v>
      </c>
      <c r="C1569" s="3">
        <v>0.47916666666666669</v>
      </c>
      <c r="D1569" s="5">
        <v>45225</v>
      </c>
      <c r="E1569" s="3">
        <v>0.52083333333333337</v>
      </c>
      <c r="F1569" t="b">
        <v>0</v>
      </c>
      <c r="G1569" s="4" t="s">
        <v>122</v>
      </c>
      <c r="H1569" t="s">
        <v>118</v>
      </c>
      <c r="I1569" t="b">
        <v>0</v>
      </c>
    </row>
    <row r="1570" spans="1:9" ht="15" hidden="1" customHeight="1" x14ac:dyDescent="0.2">
      <c r="A1570" t="s">
        <v>121</v>
      </c>
      <c r="B1570" s="5">
        <v>45226</v>
      </c>
      <c r="C1570" s="3">
        <v>0.39583333333333331</v>
      </c>
      <c r="D1570" s="5">
        <v>45226</v>
      </c>
      <c r="E1570" s="3">
        <v>0.4375</v>
      </c>
      <c r="F1570" t="b">
        <v>0</v>
      </c>
      <c r="G1570" s="4" t="s">
        <v>122</v>
      </c>
      <c r="H1570" t="s">
        <v>118</v>
      </c>
      <c r="I1570" t="b">
        <v>0</v>
      </c>
    </row>
    <row r="1571" spans="1:9" ht="15" hidden="1" customHeight="1" x14ac:dyDescent="0.2">
      <c r="A1571" t="s">
        <v>121</v>
      </c>
      <c r="B1571" s="5">
        <v>45230</v>
      </c>
      <c r="C1571" s="3">
        <v>0.35416666666666669</v>
      </c>
      <c r="D1571" s="5">
        <v>45230</v>
      </c>
      <c r="E1571" s="3">
        <v>0.39583333333333337</v>
      </c>
      <c r="F1571" t="b">
        <v>0</v>
      </c>
      <c r="G1571" s="4" t="s">
        <v>122</v>
      </c>
      <c r="H1571" t="s">
        <v>118</v>
      </c>
      <c r="I1571" t="b">
        <v>0</v>
      </c>
    </row>
    <row r="1572" spans="1:9" ht="15" hidden="1" customHeight="1" x14ac:dyDescent="0.2">
      <c r="A1572" t="s">
        <v>121</v>
      </c>
      <c r="B1572" s="5">
        <v>45232</v>
      </c>
      <c r="C1572" s="3">
        <v>0.47916666666666669</v>
      </c>
      <c r="D1572" s="5">
        <v>45232</v>
      </c>
      <c r="E1572" s="3">
        <v>0.52083333333333337</v>
      </c>
      <c r="F1572" t="b">
        <v>0</v>
      </c>
      <c r="G1572" s="4" t="s">
        <v>122</v>
      </c>
      <c r="H1572" t="s">
        <v>118</v>
      </c>
      <c r="I1572" t="b">
        <v>0</v>
      </c>
    </row>
    <row r="1573" spans="1:9" ht="15" hidden="1" customHeight="1" x14ac:dyDescent="0.2">
      <c r="A1573" t="s">
        <v>121</v>
      </c>
      <c r="B1573" s="5">
        <v>45233</v>
      </c>
      <c r="C1573" s="3">
        <v>0.39583333333333331</v>
      </c>
      <c r="D1573" s="5">
        <v>45233</v>
      </c>
      <c r="E1573" s="3">
        <v>0.4375</v>
      </c>
      <c r="F1573" t="b">
        <v>0</v>
      </c>
      <c r="G1573" s="4" t="s">
        <v>122</v>
      </c>
      <c r="H1573" t="s">
        <v>118</v>
      </c>
      <c r="I1573" t="b">
        <v>0</v>
      </c>
    </row>
    <row r="1574" spans="1:9" ht="15" hidden="1" customHeight="1" x14ac:dyDescent="0.2">
      <c r="A1574" t="s">
        <v>121</v>
      </c>
      <c r="B1574" s="5">
        <v>45237</v>
      </c>
      <c r="C1574" s="3">
        <v>0.35416666666666669</v>
      </c>
      <c r="D1574" s="5">
        <v>45237</v>
      </c>
      <c r="E1574" s="3">
        <v>0.39583333333333337</v>
      </c>
      <c r="F1574" t="b">
        <v>0</v>
      </c>
      <c r="G1574" s="4" t="s">
        <v>122</v>
      </c>
      <c r="H1574" t="s">
        <v>118</v>
      </c>
      <c r="I1574" t="b">
        <v>0</v>
      </c>
    </row>
    <row r="1575" spans="1:9" ht="15" hidden="1" customHeight="1" x14ac:dyDescent="0.2">
      <c r="A1575" t="s">
        <v>121</v>
      </c>
      <c r="B1575" s="5">
        <v>45239</v>
      </c>
      <c r="C1575" s="3">
        <v>0.47916666666666669</v>
      </c>
      <c r="D1575" s="5">
        <v>45239</v>
      </c>
      <c r="E1575" s="3">
        <v>0.52083333333333337</v>
      </c>
      <c r="F1575" t="b">
        <v>0</v>
      </c>
      <c r="G1575" s="4" t="s">
        <v>122</v>
      </c>
      <c r="H1575" t="s">
        <v>118</v>
      </c>
      <c r="I1575" t="b">
        <v>0</v>
      </c>
    </row>
    <row r="1576" spans="1:9" ht="15" hidden="1" customHeight="1" x14ac:dyDescent="0.2">
      <c r="A1576" t="s">
        <v>121</v>
      </c>
      <c r="B1576" s="5">
        <v>45240</v>
      </c>
      <c r="C1576" s="3">
        <v>0.39583333333333331</v>
      </c>
      <c r="D1576" s="5">
        <v>45240</v>
      </c>
      <c r="E1576" s="3">
        <v>0.4375</v>
      </c>
      <c r="F1576" t="b">
        <v>0</v>
      </c>
      <c r="G1576" s="4" t="s">
        <v>122</v>
      </c>
      <c r="H1576" t="s">
        <v>118</v>
      </c>
      <c r="I1576" t="b">
        <v>0</v>
      </c>
    </row>
    <row r="1577" spans="1:9" ht="15" hidden="1" customHeight="1" x14ac:dyDescent="0.2">
      <c r="A1577" t="s">
        <v>190</v>
      </c>
      <c r="B1577" s="5">
        <v>45194</v>
      </c>
      <c r="C1577" s="3">
        <v>0.625</v>
      </c>
      <c r="D1577" s="5">
        <v>45194</v>
      </c>
      <c r="E1577" s="3">
        <v>0.66666666666666663</v>
      </c>
      <c r="F1577" t="b">
        <v>0</v>
      </c>
      <c r="G1577" s="4" t="s">
        <v>191</v>
      </c>
      <c r="H1577" t="s">
        <v>236</v>
      </c>
      <c r="I1577" t="b">
        <v>0</v>
      </c>
    </row>
    <row r="1578" spans="1:9" ht="15" hidden="1" customHeight="1" x14ac:dyDescent="0.2">
      <c r="A1578" t="s">
        <v>229</v>
      </c>
      <c r="B1578" s="5">
        <v>45195</v>
      </c>
      <c r="C1578" s="3">
        <v>0.625</v>
      </c>
      <c r="D1578" s="5">
        <v>45195</v>
      </c>
      <c r="E1578" s="3">
        <v>0.75</v>
      </c>
      <c r="F1578" t="b">
        <v>0</v>
      </c>
      <c r="G1578" s="4" t="s">
        <v>230</v>
      </c>
      <c r="I1578" t="b">
        <v>0</v>
      </c>
    </row>
    <row r="1579" spans="1:9" ht="15" hidden="1" customHeight="1" x14ac:dyDescent="0.2">
      <c r="A1579" t="s">
        <v>229</v>
      </c>
      <c r="B1579" s="5">
        <v>45196</v>
      </c>
      <c r="C1579" s="3">
        <v>0.58333333333333337</v>
      </c>
      <c r="D1579" s="5">
        <v>45196</v>
      </c>
      <c r="E1579" s="3">
        <v>0.70833333333333337</v>
      </c>
      <c r="F1579" t="b">
        <v>0</v>
      </c>
      <c r="G1579" s="4" t="s">
        <v>230</v>
      </c>
      <c r="I1579" t="b">
        <v>0</v>
      </c>
    </row>
    <row r="1580" spans="1:9" ht="15" hidden="1" customHeight="1" x14ac:dyDescent="0.2">
      <c r="A1580" t="s">
        <v>229</v>
      </c>
      <c r="B1580" s="5">
        <v>45197</v>
      </c>
      <c r="C1580" s="3">
        <v>0.625</v>
      </c>
      <c r="D1580" s="5">
        <v>45197</v>
      </c>
      <c r="E1580" s="3">
        <v>0.75</v>
      </c>
      <c r="F1580" t="b">
        <v>0</v>
      </c>
      <c r="G1580" s="4" t="s">
        <v>230</v>
      </c>
      <c r="I1580" t="b">
        <v>0</v>
      </c>
    </row>
    <row r="1581" spans="1:9" ht="15" hidden="1" customHeight="1" x14ac:dyDescent="0.2">
      <c r="A1581" t="s">
        <v>229</v>
      </c>
      <c r="B1581" s="5">
        <v>45201</v>
      </c>
      <c r="C1581" s="3">
        <v>0.58333333333333337</v>
      </c>
      <c r="D1581" s="5">
        <v>45201</v>
      </c>
      <c r="E1581" s="3">
        <v>0.70833333333333337</v>
      </c>
      <c r="F1581" t="b">
        <v>0</v>
      </c>
      <c r="G1581" s="4" t="s">
        <v>230</v>
      </c>
      <c r="I1581" t="b">
        <v>0</v>
      </c>
    </row>
    <row r="1582" spans="1:9" ht="15" hidden="1" customHeight="1" x14ac:dyDescent="0.2">
      <c r="A1582" t="s">
        <v>229</v>
      </c>
      <c r="B1582" s="5">
        <v>45202</v>
      </c>
      <c r="C1582" s="3">
        <v>0.625</v>
      </c>
      <c r="D1582" s="5">
        <v>45202</v>
      </c>
      <c r="E1582" s="3">
        <v>0.75</v>
      </c>
      <c r="F1582" t="b">
        <v>0</v>
      </c>
      <c r="G1582" s="4" t="s">
        <v>230</v>
      </c>
      <c r="I1582" t="b">
        <v>0</v>
      </c>
    </row>
    <row r="1583" spans="1:9" ht="15" hidden="1" customHeight="1" x14ac:dyDescent="0.2">
      <c r="A1583" t="s">
        <v>229</v>
      </c>
      <c r="B1583" s="5">
        <v>45203</v>
      </c>
      <c r="C1583" s="3">
        <v>0.58333333333333337</v>
      </c>
      <c r="D1583" s="5">
        <v>45203</v>
      </c>
      <c r="E1583" s="3">
        <v>0.70833333333333337</v>
      </c>
      <c r="F1583" t="b">
        <v>0</v>
      </c>
      <c r="G1583" s="4" t="s">
        <v>230</v>
      </c>
      <c r="I1583" t="b">
        <v>0</v>
      </c>
    </row>
    <row r="1584" spans="1:9" ht="15" hidden="1" customHeight="1" x14ac:dyDescent="0.2">
      <c r="A1584" t="s">
        <v>229</v>
      </c>
      <c r="B1584" s="5">
        <v>45204</v>
      </c>
      <c r="C1584" s="3">
        <v>0.625</v>
      </c>
      <c r="D1584" s="5">
        <v>45204</v>
      </c>
      <c r="E1584" s="3">
        <v>0.75</v>
      </c>
      <c r="F1584" t="b">
        <v>0</v>
      </c>
      <c r="G1584" s="4" t="s">
        <v>230</v>
      </c>
      <c r="I1584" t="b">
        <v>0</v>
      </c>
    </row>
    <row r="1585" spans="1:9" ht="15" hidden="1" customHeight="1" x14ac:dyDescent="0.2">
      <c r="A1585" t="s">
        <v>229</v>
      </c>
      <c r="B1585" s="5">
        <v>45208</v>
      </c>
      <c r="C1585" s="3">
        <v>0.58333333333333337</v>
      </c>
      <c r="D1585" s="5">
        <v>45208</v>
      </c>
      <c r="E1585" s="3">
        <v>0.70833333333333337</v>
      </c>
      <c r="F1585" t="b">
        <v>0</v>
      </c>
      <c r="G1585" s="4" t="s">
        <v>230</v>
      </c>
      <c r="I1585" t="b">
        <v>0</v>
      </c>
    </row>
    <row r="1586" spans="1:9" ht="15" hidden="1" customHeight="1" x14ac:dyDescent="0.2">
      <c r="A1586" t="s">
        <v>229</v>
      </c>
      <c r="B1586" s="5">
        <v>45209</v>
      </c>
      <c r="C1586" s="3">
        <v>0.625</v>
      </c>
      <c r="D1586" s="5">
        <v>45209</v>
      </c>
      <c r="E1586" s="3">
        <v>0.75</v>
      </c>
      <c r="F1586" t="b">
        <v>0</v>
      </c>
      <c r="G1586" s="4" t="s">
        <v>230</v>
      </c>
      <c r="I1586" t="b">
        <v>0</v>
      </c>
    </row>
    <row r="1587" spans="1:9" ht="15" hidden="1" customHeight="1" x14ac:dyDescent="0.2">
      <c r="A1587" t="s">
        <v>229</v>
      </c>
      <c r="B1587" s="5">
        <v>45210</v>
      </c>
      <c r="C1587" s="3">
        <v>0.58333333333333337</v>
      </c>
      <c r="D1587" s="5">
        <v>45210</v>
      </c>
      <c r="E1587" s="3">
        <v>0.70833333333333337</v>
      </c>
      <c r="F1587" t="b">
        <v>0</v>
      </c>
      <c r="G1587" s="4" t="s">
        <v>230</v>
      </c>
      <c r="I1587" t="b">
        <v>0</v>
      </c>
    </row>
    <row r="1588" spans="1:9" ht="15" hidden="1" customHeight="1" x14ac:dyDescent="0.2">
      <c r="A1588" t="s">
        <v>229</v>
      </c>
      <c r="B1588" s="5">
        <v>45211</v>
      </c>
      <c r="C1588" s="3">
        <v>0.625</v>
      </c>
      <c r="D1588" s="5">
        <v>45211</v>
      </c>
      <c r="E1588" s="3">
        <v>0.75</v>
      </c>
      <c r="F1588" t="b">
        <v>0</v>
      </c>
      <c r="G1588" s="4" t="s">
        <v>230</v>
      </c>
      <c r="I1588" t="b">
        <v>0</v>
      </c>
    </row>
    <row r="1589" spans="1:9" ht="15" hidden="1" customHeight="1" x14ac:dyDescent="0.2">
      <c r="A1589" t="s">
        <v>229</v>
      </c>
      <c r="B1589" s="5">
        <v>45215</v>
      </c>
      <c r="C1589" s="3">
        <v>0.58333333333333337</v>
      </c>
      <c r="D1589" s="5">
        <v>45215</v>
      </c>
      <c r="E1589" s="3">
        <v>0.70833333333333337</v>
      </c>
      <c r="F1589" t="b">
        <v>0</v>
      </c>
      <c r="G1589" s="4" t="s">
        <v>230</v>
      </c>
      <c r="I1589" t="b">
        <v>0</v>
      </c>
    </row>
    <row r="1590" spans="1:9" ht="15" hidden="1" customHeight="1" x14ac:dyDescent="0.2">
      <c r="A1590" t="s">
        <v>229</v>
      </c>
      <c r="B1590" s="5">
        <v>45216</v>
      </c>
      <c r="C1590" s="3">
        <v>0.625</v>
      </c>
      <c r="D1590" s="5">
        <v>45216</v>
      </c>
      <c r="E1590" s="3">
        <v>0.75</v>
      </c>
      <c r="F1590" t="b">
        <v>0</v>
      </c>
      <c r="G1590" s="4" t="s">
        <v>230</v>
      </c>
      <c r="I1590" t="b">
        <v>0</v>
      </c>
    </row>
    <row r="1591" spans="1:9" ht="15" hidden="1" customHeight="1" x14ac:dyDescent="0.2">
      <c r="A1591" t="s">
        <v>229</v>
      </c>
      <c r="B1591" s="5">
        <v>45217</v>
      </c>
      <c r="C1591" s="3">
        <v>0.58333333333333337</v>
      </c>
      <c r="D1591" s="5">
        <v>45217</v>
      </c>
      <c r="E1591" s="3">
        <v>0.70833333333333337</v>
      </c>
      <c r="F1591" t="b">
        <v>0</v>
      </c>
      <c r="G1591" s="4" t="s">
        <v>230</v>
      </c>
      <c r="I1591" t="b">
        <v>0</v>
      </c>
    </row>
    <row r="1592" spans="1:9" ht="15" hidden="1" customHeight="1" x14ac:dyDescent="0.2">
      <c r="A1592" t="s">
        <v>229</v>
      </c>
      <c r="B1592" s="5">
        <v>45218</v>
      </c>
      <c r="C1592" s="3">
        <v>0.625</v>
      </c>
      <c r="D1592" s="5">
        <v>45218</v>
      </c>
      <c r="E1592" s="3">
        <v>0.75</v>
      </c>
      <c r="F1592" t="b">
        <v>0</v>
      </c>
      <c r="G1592" s="4" t="s">
        <v>230</v>
      </c>
      <c r="I1592" t="b">
        <v>0</v>
      </c>
    </row>
    <row r="1593" spans="1:9" ht="15" hidden="1" customHeight="1" x14ac:dyDescent="0.2">
      <c r="A1593" t="s">
        <v>229</v>
      </c>
      <c r="B1593" s="5">
        <v>45222</v>
      </c>
      <c r="C1593" s="3">
        <v>0.58333333333333337</v>
      </c>
      <c r="D1593" s="5">
        <v>45222</v>
      </c>
      <c r="E1593" s="3">
        <v>0.70833333333333337</v>
      </c>
      <c r="F1593" t="b">
        <v>0</v>
      </c>
      <c r="G1593" s="4" t="s">
        <v>230</v>
      </c>
      <c r="I1593" t="b">
        <v>0</v>
      </c>
    </row>
    <row r="1594" spans="1:9" ht="15" hidden="1" customHeight="1" x14ac:dyDescent="0.2">
      <c r="A1594" t="s">
        <v>229</v>
      </c>
      <c r="B1594" s="5">
        <v>45223</v>
      </c>
      <c r="C1594" s="3">
        <v>0.625</v>
      </c>
      <c r="D1594" s="5">
        <v>45223</v>
      </c>
      <c r="E1594" s="3">
        <v>0.75</v>
      </c>
      <c r="F1594" t="b">
        <v>0</v>
      </c>
      <c r="G1594" s="4" t="s">
        <v>230</v>
      </c>
      <c r="I1594" t="b">
        <v>0</v>
      </c>
    </row>
    <row r="1595" spans="1:9" ht="15" hidden="1" customHeight="1" x14ac:dyDescent="0.2">
      <c r="A1595" t="s">
        <v>229</v>
      </c>
      <c r="B1595" s="5">
        <v>45224</v>
      </c>
      <c r="C1595" s="3">
        <v>0.58333333333333337</v>
      </c>
      <c r="D1595" s="5">
        <v>45224</v>
      </c>
      <c r="E1595" s="3">
        <v>0.70833333333333337</v>
      </c>
      <c r="F1595" t="b">
        <v>0</v>
      </c>
      <c r="G1595" s="4" t="s">
        <v>230</v>
      </c>
      <c r="I1595" t="b">
        <v>0</v>
      </c>
    </row>
    <row r="1596" spans="1:9" ht="15" hidden="1" customHeight="1" x14ac:dyDescent="0.2">
      <c r="A1596" t="s">
        <v>229</v>
      </c>
      <c r="B1596" s="5">
        <v>45225</v>
      </c>
      <c r="C1596" s="3">
        <v>0.625</v>
      </c>
      <c r="D1596" s="5">
        <v>45225</v>
      </c>
      <c r="E1596" s="3">
        <v>0.75</v>
      </c>
      <c r="F1596" t="b">
        <v>0</v>
      </c>
      <c r="G1596" s="4" t="s">
        <v>230</v>
      </c>
      <c r="I1596" t="b">
        <v>0</v>
      </c>
    </row>
    <row r="1597" spans="1:9" ht="15" hidden="1" customHeight="1" x14ac:dyDescent="0.2">
      <c r="A1597" t="s">
        <v>229</v>
      </c>
      <c r="B1597" s="5">
        <v>45229</v>
      </c>
      <c r="C1597" s="3">
        <v>0.58333333333333337</v>
      </c>
      <c r="D1597" s="5">
        <v>45229</v>
      </c>
      <c r="E1597" s="3">
        <v>0.70833333333333337</v>
      </c>
      <c r="F1597" t="b">
        <v>0</v>
      </c>
      <c r="G1597" s="4" t="s">
        <v>230</v>
      </c>
      <c r="I1597" t="b">
        <v>0</v>
      </c>
    </row>
    <row r="1598" spans="1:9" ht="15" hidden="1" customHeight="1" x14ac:dyDescent="0.2">
      <c r="A1598" t="s">
        <v>229</v>
      </c>
      <c r="B1598" s="5">
        <v>45230</v>
      </c>
      <c r="C1598" s="3">
        <v>0.625</v>
      </c>
      <c r="D1598" s="5">
        <v>45230</v>
      </c>
      <c r="E1598" s="3">
        <v>0.75</v>
      </c>
      <c r="F1598" t="b">
        <v>0</v>
      </c>
      <c r="G1598" s="4" t="s">
        <v>230</v>
      </c>
      <c r="I1598" t="b">
        <v>0</v>
      </c>
    </row>
    <row r="1599" spans="1:9" ht="15" hidden="1" customHeight="1" x14ac:dyDescent="0.2">
      <c r="A1599" t="s">
        <v>229</v>
      </c>
      <c r="B1599" s="5">
        <v>45231</v>
      </c>
      <c r="C1599" s="3">
        <v>0.58333333333333337</v>
      </c>
      <c r="D1599" s="5">
        <v>45231</v>
      </c>
      <c r="E1599" s="3">
        <v>0.70833333333333337</v>
      </c>
      <c r="F1599" t="b">
        <v>0</v>
      </c>
      <c r="G1599" s="4" t="s">
        <v>230</v>
      </c>
      <c r="I1599" t="b">
        <v>0</v>
      </c>
    </row>
    <row r="1600" spans="1:9" ht="15" hidden="1" customHeight="1" x14ac:dyDescent="0.2">
      <c r="A1600" t="s">
        <v>229</v>
      </c>
      <c r="B1600" s="5">
        <v>45232</v>
      </c>
      <c r="C1600" s="3">
        <v>0.625</v>
      </c>
      <c r="D1600" s="5">
        <v>45232</v>
      </c>
      <c r="E1600" s="3">
        <v>0.75</v>
      </c>
      <c r="F1600" t="b">
        <v>0</v>
      </c>
      <c r="G1600" s="4" t="s">
        <v>230</v>
      </c>
      <c r="I1600" t="b">
        <v>0</v>
      </c>
    </row>
    <row r="1601" spans="1:9" ht="15" hidden="1" customHeight="1" x14ac:dyDescent="0.2">
      <c r="A1601" t="s">
        <v>229</v>
      </c>
      <c r="B1601" s="5">
        <v>45236</v>
      </c>
      <c r="C1601" s="3">
        <v>0.58333333333333337</v>
      </c>
      <c r="D1601" s="5">
        <v>45236</v>
      </c>
      <c r="E1601" s="3">
        <v>0.70833333333333337</v>
      </c>
      <c r="F1601" t="b">
        <v>0</v>
      </c>
      <c r="G1601" s="4" t="s">
        <v>230</v>
      </c>
      <c r="I1601" t="b">
        <v>0</v>
      </c>
    </row>
    <row r="1602" spans="1:9" ht="15" hidden="1" customHeight="1" x14ac:dyDescent="0.2">
      <c r="A1602" t="s">
        <v>229</v>
      </c>
      <c r="B1602" s="5">
        <v>45237</v>
      </c>
      <c r="C1602" s="3">
        <v>0.625</v>
      </c>
      <c r="D1602" s="5">
        <v>45237</v>
      </c>
      <c r="E1602" s="3">
        <v>0.75</v>
      </c>
      <c r="F1602" t="b">
        <v>0</v>
      </c>
      <c r="G1602" s="4" t="s">
        <v>230</v>
      </c>
      <c r="I1602" t="b">
        <v>0</v>
      </c>
    </row>
    <row r="1603" spans="1:9" ht="15" hidden="1" customHeight="1" x14ac:dyDescent="0.2">
      <c r="A1603" t="s">
        <v>229</v>
      </c>
      <c r="B1603" s="5">
        <v>45238</v>
      </c>
      <c r="C1603" s="3">
        <v>0.58333333333333337</v>
      </c>
      <c r="D1603" s="5">
        <v>45238</v>
      </c>
      <c r="E1603" s="3">
        <v>0.70833333333333337</v>
      </c>
      <c r="F1603" t="b">
        <v>0</v>
      </c>
      <c r="G1603" s="4" t="s">
        <v>230</v>
      </c>
      <c r="I1603" t="b">
        <v>0</v>
      </c>
    </row>
    <row r="1604" spans="1:9" ht="15" hidden="1" customHeight="1" x14ac:dyDescent="0.2">
      <c r="A1604" t="s">
        <v>229</v>
      </c>
      <c r="B1604" s="5">
        <v>45239</v>
      </c>
      <c r="C1604" s="3">
        <v>0.625</v>
      </c>
      <c r="D1604" s="5">
        <v>45239</v>
      </c>
      <c r="E1604" s="3">
        <v>0.75</v>
      </c>
      <c r="F1604" t="b">
        <v>0</v>
      </c>
      <c r="G1604" s="4" t="s">
        <v>230</v>
      </c>
      <c r="I1604" t="b">
        <v>0</v>
      </c>
    </row>
    <row r="1605" spans="1:9" ht="15" hidden="1" customHeight="1" x14ac:dyDescent="0.2">
      <c r="A1605" s="6" t="s">
        <v>296</v>
      </c>
      <c r="B1605" s="5">
        <v>45194</v>
      </c>
      <c r="C1605" s="3">
        <v>0.66666666666666663</v>
      </c>
      <c r="D1605" s="5">
        <v>45194</v>
      </c>
      <c r="E1605" s="3">
        <v>0.70833333333333326</v>
      </c>
      <c r="F1605" t="b">
        <v>0</v>
      </c>
      <c r="G1605" s="7" t="s">
        <v>297</v>
      </c>
      <c r="H1605" t="s">
        <v>233</v>
      </c>
      <c r="I1605" t="b">
        <v>0</v>
      </c>
    </row>
    <row r="1606" spans="1:9" ht="15" hidden="1" customHeight="1" x14ac:dyDescent="0.2">
      <c r="A1606" t="s">
        <v>186</v>
      </c>
      <c r="B1606" s="5">
        <v>45196</v>
      </c>
      <c r="C1606" s="3">
        <v>0.47916666666666669</v>
      </c>
      <c r="D1606" s="5">
        <v>45196</v>
      </c>
      <c r="E1606" s="3">
        <v>0.52083333333333337</v>
      </c>
      <c r="F1606" t="b">
        <v>0</v>
      </c>
      <c r="G1606" s="4" t="s">
        <v>187</v>
      </c>
      <c r="H1606" t="s">
        <v>148</v>
      </c>
      <c r="I1606" t="b">
        <v>0</v>
      </c>
    </row>
    <row r="1607" spans="1:9" ht="15" hidden="1" customHeight="1" x14ac:dyDescent="0.2">
      <c r="A1607" t="s">
        <v>186</v>
      </c>
      <c r="B1607" s="5">
        <v>45198</v>
      </c>
      <c r="C1607" s="3">
        <v>0.35416666666666669</v>
      </c>
      <c r="D1607" s="5">
        <v>45198</v>
      </c>
      <c r="E1607" s="3">
        <v>0.39583333333333337</v>
      </c>
      <c r="F1607" t="b">
        <v>0</v>
      </c>
      <c r="G1607" s="4" t="s">
        <v>187</v>
      </c>
      <c r="H1607" t="s">
        <v>148</v>
      </c>
      <c r="I1607" t="b">
        <v>0</v>
      </c>
    </row>
    <row r="1608" spans="1:9" ht="15" hidden="1" customHeight="1" x14ac:dyDescent="0.2">
      <c r="A1608" t="s">
        <v>186</v>
      </c>
      <c r="B1608" s="5">
        <v>45201</v>
      </c>
      <c r="C1608" s="3">
        <v>0.4375</v>
      </c>
      <c r="D1608" s="5">
        <v>45201</v>
      </c>
      <c r="E1608" s="3">
        <v>0.47916666666666669</v>
      </c>
      <c r="F1608" t="b">
        <v>0</v>
      </c>
      <c r="G1608" s="4" t="s">
        <v>187</v>
      </c>
      <c r="H1608" t="s">
        <v>148</v>
      </c>
      <c r="I1608" t="b">
        <v>0</v>
      </c>
    </row>
    <row r="1609" spans="1:9" ht="15" hidden="1" customHeight="1" x14ac:dyDescent="0.2">
      <c r="A1609" t="s">
        <v>186</v>
      </c>
      <c r="B1609" s="5">
        <v>45203</v>
      </c>
      <c r="C1609" s="3">
        <v>0.47916666666666669</v>
      </c>
      <c r="D1609" s="5">
        <v>45203</v>
      </c>
      <c r="E1609" s="3">
        <v>0.52083333333333337</v>
      </c>
      <c r="F1609" t="b">
        <v>0</v>
      </c>
      <c r="G1609" s="4" t="s">
        <v>187</v>
      </c>
      <c r="H1609" t="s">
        <v>148</v>
      </c>
      <c r="I1609" t="b">
        <v>0</v>
      </c>
    </row>
    <row r="1610" spans="1:9" ht="15" hidden="1" customHeight="1" x14ac:dyDescent="0.2">
      <c r="A1610" t="s">
        <v>186</v>
      </c>
      <c r="B1610" s="5">
        <v>45205</v>
      </c>
      <c r="C1610" s="3">
        <v>0.35416666666666669</v>
      </c>
      <c r="D1610" s="5">
        <v>45205</v>
      </c>
      <c r="E1610" s="3">
        <v>0.39583333333333337</v>
      </c>
      <c r="F1610" t="b">
        <v>0</v>
      </c>
      <c r="G1610" s="4" t="s">
        <v>187</v>
      </c>
      <c r="H1610" t="s">
        <v>148</v>
      </c>
      <c r="I1610" t="b">
        <v>0</v>
      </c>
    </row>
    <row r="1611" spans="1:9" ht="15" hidden="1" customHeight="1" x14ac:dyDescent="0.2">
      <c r="A1611" t="s">
        <v>186</v>
      </c>
      <c r="B1611" s="5">
        <v>45208</v>
      </c>
      <c r="C1611" s="3">
        <v>0.4375</v>
      </c>
      <c r="D1611" s="5">
        <v>45208</v>
      </c>
      <c r="E1611" s="3">
        <v>0.47916666666666669</v>
      </c>
      <c r="F1611" t="b">
        <v>0</v>
      </c>
      <c r="G1611" s="4" t="s">
        <v>187</v>
      </c>
      <c r="H1611" t="s">
        <v>148</v>
      </c>
      <c r="I1611" t="b">
        <v>0</v>
      </c>
    </row>
    <row r="1612" spans="1:9" ht="15" hidden="1" customHeight="1" x14ac:dyDescent="0.2">
      <c r="A1612" t="s">
        <v>186</v>
      </c>
      <c r="B1612" s="5">
        <v>45210</v>
      </c>
      <c r="C1612" s="3">
        <v>0.47916666666666669</v>
      </c>
      <c r="D1612" s="5">
        <v>45210</v>
      </c>
      <c r="E1612" s="3">
        <v>0.52083333333333337</v>
      </c>
      <c r="F1612" t="b">
        <v>0</v>
      </c>
      <c r="G1612" s="4" t="s">
        <v>187</v>
      </c>
      <c r="H1612" t="s">
        <v>148</v>
      </c>
      <c r="I1612" t="b">
        <v>0</v>
      </c>
    </row>
    <row r="1613" spans="1:9" ht="15" hidden="1" customHeight="1" x14ac:dyDescent="0.2">
      <c r="A1613" t="s">
        <v>186</v>
      </c>
      <c r="B1613" s="5">
        <v>45212</v>
      </c>
      <c r="C1613" s="3">
        <v>0.35416666666666669</v>
      </c>
      <c r="D1613" s="5">
        <v>45212</v>
      </c>
      <c r="E1613" s="3">
        <v>0.39583333333333337</v>
      </c>
      <c r="F1613" t="b">
        <v>0</v>
      </c>
      <c r="G1613" s="4" t="s">
        <v>187</v>
      </c>
      <c r="H1613" t="s">
        <v>148</v>
      </c>
      <c r="I1613" t="b">
        <v>0</v>
      </c>
    </row>
    <row r="1614" spans="1:9" ht="15" hidden="1" customHeight="1" x14ac:dyDescent="0.2">
      <c r="A1614" t="s">
        <v>186</v>
      </c>
      <c r="B1614" s="5">
        <v>45215</v>
      </c>
      <c r="C1614" s="3">
        <v>0.4375</v>
      </c>
      <c r="D1614" s="5">
        <v>45215</v>
      </c>
      <c r="E1614" s="3">
        <v>0.47916666666666669</v>
      </c>
      <c r="F1614" t="b">
        <v>0</v>
      </c>
      <c r="G1614" s="4" t="s">
        <v>187</v>
      </c>
      <c r="H1614" t="s">
        <v>148</v>
      </c>
      <c r="I1614" t="b">
        <v>0</v>
      </c>
    </row>
    <row r="1615" spans="1:9" ht="15" hidden="1" customHeight="1" x14ac:dyDescent="0.2">
      <c r="A1615" t="s">
        <v>186</v>
      </c>
      <c r="B1615" s="5">
        <v>45217</v>
      </c>
      <c r="C1615" s="3">
        <v>0.47916666666666669</v>
      </c>
      <c r="D1615" s="5">
        <v>45217</v>
      </c>
      <c r="E1615" s="3">
        <v>0.52083333333333337</v>
      </c>
      <c r="F1615" t="b">
        <v>0</v>
      </c>
      <c r="G1615" s="4" t="s">
        <v>187</v>
      </c>
      <c r="H1615" t="s">
        <v>148</v>
      </c>
      <c r="I1615" t="b">
        <v>0</v>
      </c>
    </row>
    <row r="1616" spans="1:9" ht="15" hidden="1" customHeight="1" x14ac:dyDescent="0.2">
      <c r="A1616" t="s">
        <v>186</v>
      </c>
      <c r="B1616" s="5">
        <v>45219</v>
      </c>
      <c r="C1616" s="3">
        <v>0.35416666666666669</v>
      </c>
      <c r="D1616" s="5">
        <v>45219</v>
      </c>
      <c r="E1616" s="3">
        <v>0.39583333333333337</v>
      </c>
      <c r="F1616" t="b">
        <v>0</v>
      </c>
      <c r="G1616" s="4" t="s">
        <v>187</v>
      </c>
      <c r="H1616" t="s">
        <v>148</v>
      </c>
      <c r="I1616" t="b">
        <v>0</v>
      </c>
    </row>
    <row r="1617" spans="1:9" ht="15" hidden="1" customHeight="1" x14ac:dyDescent="0.2">
      <c r="A1617" t="s">
        <v>186</v>
      </c>
      <c r="B1617" s="5">
        <v>45222</v>
      </c>
      <c r="C1617" s="3">
        <v>0.4375</v>
      </c>
      <c r="D1617" s="5">
        <v>45222</v>
      </c>
      <c r="E1617" s="3">
        <v>0.47916666666666669</v>
      </c>
      <c r="F1617" t="b">
        <v>0</v>
      </c>
      <c r="G1617" s="4" t="s">
        <v>187</v>
      </c>
      <c r="H1617" t="s">
        <v>148</v>
      </c>
      <c r="I1617" t="b">
        <v>0</v>
      </c>
    </row>
    <row r="1618" spans="1:9" ht="15" hidden="1" customHeight="1" x14ac:dyDescent="0.2">
      <c r="A1618" t="s">
        <v>186</v>
      </c>
      <c r="B1618" s="5">
        <v>45224</v>
      </c>
      <c r="C1618" s="3">
        <v>0.47916666666666669</v>
      </c>
      <c r="D1618" s="5">
        <v>45224</v>
      </c>
      <c r="E1618" s="3">
        <v>0.52083333333333337</v>
      </c>
      <c r="F1618" t="b">
        <v>0</v>
      </c>
      <c r="G1618" s="4" t="s">
        <v>187</v>
      </c>
      <c r="H1618" t="s">
        <v>148</v>
      </c>
      <c r="I1618" t="b">
        <v>0</v>
      </c>
    </row>
    <row r="1619" spans="1:9" ht="15" hidden="1" customHeight="1" x14ac:dyDescent="0.2">
      <c r="A1619" t="s">
        <v>186</v>
      </c>
      <c r="B1619" s="5">
        <v>45226</v>
      </c>
      <c r="C1619" s="3">
        <v>0.35416666666666669</v>
      </c>
      <c r="D1619" s="5">
        <v>45226</v>
      </c>
      <c r="E1619" s="3">
        <v>0.39583333333333337</v>
      </c>
      <c r="F1619" t="b">
        <v>0</v>
      </c>
      <c r="G1619" s="4" t="s">
        <v>187</v>
      </c>
      <c r="H1619" t="s">
        <v>148</v>
      </c>
      <c r="I1619" t="b">
        <v>0</v>
      </c>
    </row>
    <row r="1620" spans="1:9" ht="15" hidden="1" customHeight="1" x14ac:dyDescent="0.2">
      <c r="A1620" t="s">
        <v>186</v>
      </c>
      <c r="B1620" s="5">
        <v>45229</v>
      </c>
      <c r="C1620" s="3">
        <v>0.4375</v>
      </c>
      <c r="D1620" s="5">
        <v>45229</v>
      </c>
      <c r="E1620" s="3">
        <v>0.47916666666666669</v>
      </c>
      <c r="F1620" t="b">
        <v>0</v>
      </c>
      <c r="G1620" s="4" t="s">
        <v>187</v>
      </c>
      <c r="H1620" t="s">
        <v>148</v>
      </c>
      <c r="I1620" t="b">
        <v>0</v>
      </c>
    </row>
    <row r="1621" spans="1:9" ht="15" hidden="1" customHeight="1" x14ac:dyDescent="0.2">
      <c r="A1621" t="s">
        <v>186</v>
      </c>
      <c r="B1621" s="5">
        <v>45231</v>
      </c>
      <c r="C1621" s="3">
        <v>0.47916666666666669</v>
      </c>
      <c r="D1621" s="5">
        <v>45231</v>
      </c>
      <c r="E1621" s="3">
        <v>0.52083333333333337</v>
      </c>
      <c r="F1621" t="b">
        <v>0</v>
      </c>
      <c r="G1621" s="4" t="s">
        <v>187</v>
      </c>
      <c r="H1621" t="s">
        <v>148</v>
      </c>
      <c r="I1621" t="b">
        <v>0</v>
      </c>
    </row>
    <row r="1622" spans="1:9" ht="15" hidden="1" customHeight="1" x14ac:dyDescent="0.2">
      <c r="A1622" t="s">
        <v>186</v>
      </c>
      <c r="B1622" s="5">
        <v>45233</v>
      </c>
      <c r="C1622" s="3">
        <v>0.35416666666666669</v>
      </c>
      <c r="D1622" s="5">
        <v>45233</v>
      </c>
      <c r="E1622" s="3">
        <v>0.39583333333333337</v>
      </c>
      <c r="F1622" t="b">
        <v>0</v>
      </c>
      <c r="G1622" s="4" t="s">
        <v>187</v>
      </c>
      <c r="H1622" t="s">
        <v>148</v>
      </c>
      <c r="I1622" t="b">
        <v>0</v>
      </c>
    </row>
    <row r="1623" spans="1:9" ht="15" hidden="1" customHeight="1" x14ac:dyDescent="0.2">
      <c r="A1623" t="s">
        <v>186</v>
      </c>
      <c r="B1623" s="5">
        <v>45236</v>
      </c>
      <c r="C1623" s="3">
        <v>0.4375</v>
      </c>
      <c r="D1623" s="5">
        <v>45236</v>
      </c>
      <c r="E1623" s="3">
        <v>0.47916666666666669</v>
      </c>
      <c r="F1623" t="b">
        <v>0</v>
      </c>
      <c r="G1623" s="4" t="s">
        <v>187</v>
      </c>
      <c r="H1623" t="s">
        <v>148</v>
      </c>
      <c r="I1623" t="b">
        <v>0</v>
      </c>
    </row>
    <row r="1624" spans="1:9" ht="15" hidden="1" customHeight="1" x14ac:dyDescent="0.2">
      <c r="A1624" t="s">
        <v>186</v>
      </c>
      <c r="B1624" s="5">
        <v>45238</v>
      </c>
      <c r="C1624" s="3">
        <v>0.47916666666666669</v>
      </c>
      <c r="D1624" s="5">
        <v>45238</v>
      </c>
      <c r="E1624" s="3">
        <v>0.52083333333333337</v>
      </c>
      <c r="F1624" t="b">
        <v>0</v>
      </c>
      <c r="G1624" s="4" t="s">
        <v>187</v>
      </c>
      <c r="H1624" t="s">
        <v>148</v>
      </c>
      <c r="I1624" t="b">
        <v>0</v>
      </c>
    </row>
    <row r="1625" spans="1:9" ht="15" hidden="1" customHeight="1" x14ac:dyDescent="0.2">
      <c r="A1625" t="s">
        <v>186</v>
      </c>
      <c r="B1625" s="5">
        <v>45240</v>
      </c>
      <c r="C1625" s="3">
        <v>0.35416666666666669</v>
      </c>
      <c r="D1625" s="5">
        <v>45240</v>
      </c>
      <c r="E1625" s="3">
        <v>0.39583333333333337</v>
      </c>
      <c r="F1625" t="b">
        <v>0</v>
      </c>
      <c r="G1625" s="4" t="s">
        <v>187</v>
      </c>
      <c r="H1625" t="s">
        <v>148</v>
      </c>
      <c r="I1625" t="b">
        <v>0</v>
      </c>
    </row>
    <row r="1626" spans="1:9" ht="15" hidden="1" customHeight="1" x14ac:dyDescent="0.2">
      <c r="A1626" t="s">
        <v>188</v>
      </c>
      <c r="B1626" s="5">
        <v>45195</v>
      </c>
      <c r="C1626" s="3">
        <v>0.58333333333333337</v>
      </c>
      <c r="D1626" s="5">
        <v>45195</v>
      </c>
      <c r="E1626" s="3">
        <v>0.70833333333333337</v>
      </c>
      <c r="F1626" t="b">
        <v>0</v>
      </c>
      <c r="G1626" s="4" t="s">
        <v>189</v>
      </c>
      <c r="I1626" t="b">
        <v>0</v>
      </c>
    </row>
    <row r="1627" spans="1:9" ht="15" hidden="1" customHeight="1" x14ac:dyDescent="0.2">
      <c r="A1627" t="s">
        <v>188</v>
      </c>
      <c r="B1627" s="5">
        <v>45202</v>
      </c>
      <c r="C1627" s="3">
        <v>0.58333333333333337</v>
      </c>
      <c r="D1627" s="5">
        <v>45202</v>
      </c>
      <c r="E1627" s="3">
        <v>0.70833333333333337</v>
      </c>
      <c r="F1627" t="b">
        <v>0</v>
      </c>
      <c r="G1627" s="4" t="s">
        <v>189</v>
      </c>
      <c r="I1627" t="b">
        <v>0</v>
      </c>
    </row>
    <row r="1628" spans="1:9" ht="15" hidden="1" customHeight="1" x14ac:dyDescent="0.2">
      <c r="A1628" t="s">
        <v>188</v>
      </c>
      <c r="B1628" s="5">
        <v>45209</v>
      </c>
      <c r="C1628" s="3">
        <v>0.58333333333333337</v>
      </c>
      <c r="D1628" s="5">
        <v>45209</v>
      </c>
      <c r="E1628" s="3">
        <v>0.70833333333333337</v>
      </c>
      <c r="F1628" t="b">
        <v>0</v>
      </c>
      <c r="G1628" s="4" t="s">
        <v>189</v>
      </c>
      <c r="I1628" t="b">
        <v>0</v>
      </c>
    </row>
    <row r="1629" spans="1:9" ht="15" hidden="1" customHeight="1" x14ac:dyDescent="0.2">
      <c r="A1629" t="s">
        <v>188</v>
      </c>
      <c r="B1629" s="5">
        <v>45216</v>
      </c>
      <c r="C1629" s="3">
        <v>0.58333333333333337</v>
      </c>
      <c r="D1629" s="5">
        <v>45216</v>
      </c>
      <c r="E1629" s="3">
        <v>0.70833333333333337</v>
      </c>
      <c r="F1629" t="b">
        <v>0</v>
      </c>
      <c r="G1629" s="4" t="s">
        <v>189</v>
      </c>
      <c r="I1629" t="b">
        <v>0</v>
      </c>
    </row>
    <row r="1630" spans="1:9" ht="15" hidden="1" customHeight="1" x14ac:dyDescent="0.2">
      <c r="A1630" t="s">
        <v>188</v>
      </c>
      <c r="B1630" s="5">
        <v>45223</v>
      </c>
      <c r="C1630" s="3">
        <v>0.58333333333333337</v>
      </c>
      <c r="D1630" s="5">
        <v>45223</v>
      </c>
      <c r="E1630" s="3">
        <v>0.70833333333333337</v>
      </c>
      <c r="F1630" t="b">
        <v>0</v>
      </c>
      <c r="G1630" s="4" t="s">
        <v>189</v>
      </c>
      <c r="I1630" t="b">
        <v>0</v>
      </c>
    </row>
    <row r="1631" spans="1:9" ht="15" hidden="1" customHeight="1" x14ac:dyDescent="0.2">
      <c r="A1631" t="s">
        <v>188</v>
      </c>
      <c r="B1631" s="5">
        <v>45230</v>
      </c>
      <c r="C1631" s="3">
        <v>0.58333333333333337</v>
      </c>
      <c r="D1631" s="5">
        <v>45230</v>
      </c>
      <c r="E1631" s="3">
        <v>0.70833333333333337</v>
      </c>
      <c r="F1631" t="b">
        <v>0</v>
      </c>
      <c r="G1631" s="4" t="s">
        <v>189</v>
      </c>
      <c r="I1631" t="b">
        <v>0</v>
      </c>
    </row>
    <row r="1632" spans="1:9" ht="15" hidden="1" customHeight="1" x14ac:dyDescent="0.2">
      <c r="A1632" t="s">
        <v>188</v>
      </c>
      <c r="B1632" s="5">
        <v>45237</v>
      </c>
      <c r="C1632" s="3">
        <v>0.58333333333333337</v>
      </c>
      <c r="D1632" s="5">
        <v>45237</v>
      </c>
      <c r="E1632" s="3">
        <v>0.70833333333333337</v>
      </c>
      <c r="F1632" t="b">
        <v>0</v>
      </c>
      <c r="G1632" s="4" t="s">
        <v>189</v>
      </c>
      <c r="I1632" t="b">
        <v>0</v>
      </c>
    </row>
    <row r="1633" spans="1:9" ht="15" hidden="1" customHeight="1" x14ac:dyDescent="0.2">
      <c r="A1633" t="s">
        <v>192</v>
      </c>
      <c r="B1633" s="5">
        <v>45195</v>
      </c>
      <c r="C1633" s="3">
        <v>0.70833333333333337</v>
      </c>
      <c r="D1633" s="5">
        <v>45195</v>
      </c>
      <c r="E1633" s="3">
        <v>0.75</v>
      </c>
      <c r="F1633" t="b">
        <v>0</v>
      </c>
      <c r="G1633" s="4" t="s">
        <v>193</v>
      </c>
      <c r="H1633" t="s">
        <v>242</v>
      </c>
      <c r="I1633" t="b">
        <v>0</v>
      </c>
    </row>
    <row r="1634" spans="1:9" ht="15" hidden="1" customHeight="1" x14ac:dyDescent="0.2">
      <c r="A1634" t="s">
        <v>192</v>
      </c>
      <c r="B1634" s="5">
        <v>45196</v>
      </c>
      <c r="C1634" s="3">
        <v>0.625</v>
      </c>
      <c r="D1634" s="5">
        <v>45196</v>
      </c>
      <c r="E1634" s="3">
        <v>0.66666666666666663</v>
      </c>
      <c r="F1634" t="b">
        <v>0</v>
      </c>
      <c r="G1634" s="4" t="s">
        <v>193</v>
      </c>
      <c r="H1634" t="s">
        <v>242</v>
      </c>
      <c r="I1634" t="b">
        <v>0</v>
      </c>
    </row>
    <row r="1635" spans="1:9" ht="15" hidden="1" customHeight="1" x14ac:dyDescent="0.2">
      <c r="A1635" t="s">
        <v>192</v>
      </c>
      <c r="B1635" s="5">
        <v>45197</v>
      </c>
      <c r="C1635" s="3">
        <v>0.66666666666666663</v>
      </c>
      <c r="D1635" s="5">
        <v>45197</v>
      </c>
      <c r="E1635" s="3">
        <v>0.70833333333333326</v>
      </c>
      <c r="F1635" t="b">
        <v>0</v>
      </c>
      <c r="G1635" s="4" t="s">
        <v>193</v>
      </c>
      <c r="H1635" t="s">
        <v>242</v>
      </c>
      <c r="I1635" t="b">
        <v>0</v>
      </c>
    </row>
    <row r="1636" spans="1:9" ht="15" hidden="1" customHeight="1" x14ac:dyDescent="0.2">
      <c r="A1636" t="s">
        <v>192</v>
      </c>
      <c r="B1636" s="5">
        <v>45202</v>
      </c>
      <c r="C1636" s="3">
        <v>0.70833333333333337</v>
      </c>
      <c r="D1636" s="5">
        <v>45202</v>
      </c>
      <c r="E1636" s="3">
        <v>0.75</v>
      </c>
      <c r="F1636" t="b">
        <v>0</v>
      </c>
      <c r="G1636" s="4" t="s">
        <v>193</v>
      </c>
      <c r="H1636" t="s">
        <v>242</v>
      </c>
      <c r="I1636" t="b">
        <v>0</v>
      </c>
    </row>
    <row r="1637" spans="1:9" ht="15" hidden="1" customHeight="1" x14ac:dyDescent="0.2">
      <c r="A1637" t="s">
        <v>192</v>
      </c>
      <c r="B1637" s="5">
        <v>45203</v>
      </c>
      <c r="C1637" s="3">
        <v>0.625</v>
      </c>
      <c r="D1637" s="5">
        <v>45203</v>
      </c>
      <c r="E1637" s="3">
        <v>0.66666666666666663</v>
      </c>
      <c r="F1637" t="b">
        <v>0</v>
      </c>
      <c r="G1637" s="4" t="s">
        <v>193</v>
      </c>
      <c r="H1637" t="s">
        <v>242</v>
      </c>
      <c r="I1637" t="b">
        <v>0</v>
      </c>
    </row>
    <row r="1638" spans="1:9" ht="15" hidden="1" customHeight="1" x14ac:dyDescent="0.2">
      <c r="A1638" t="s">
        <v>192</v>
      </c>
      <c r="B1638" s="5">
        <v>45204</v>
      </c>
      <c r="C1638" s="3">
        <v>0.66666666666666663</v>
      </c>
      <c r="D1638" s="5">
        <v>45204</v>
      </c>
      <c r="E1638" s="3">
        <v>0.70833333333333326</v>
      </c>
      <c r="F1638" t="b">
        <v>0</v>
      </c>
      <c r="G1638" s="4" t="s">
        <v>193</v>
      </c>
      <c r="H1638" t="s">
        <v>242</v>
      </c>
      <c r="I1638" t="b">
        <v>0</v>
      </c>
    </row>
    <row r="1639" spans="1:9" ht="15" hidden="1" customHeight="1" x14ac:dyDescent="0.2">
      <c r="A1639" t="s">
        <v>192</v>
      </c>
      <c r="B1639" s="5">
        <v>45209</v>
      </c>
      <c r="C1639" s="3">
        <v>0.70833333333333337</v>
      </c>
      <c r="D1639" s="5">
        <v>45209</v>
      </c>
      <c r="E1639" s="3">
        <v>0.75</v>
      </c>
      <c r="F1639" t="b">
        <v>0</v>
      </c>
      <c r="G1639" s="4" t="s">
        <v>193</v>
      </c>
      <c r="H1639" t="s">
        <v>242</v>
      </c>
      <c r="I1639" t="b">
        <v>0</v>
      </c>
    </row>
    <row r="1640" spans="1:9" ht="15" hidden="1" customHeight="1" x14ac:dyDescent="0.2">
      <c r="A1640" t="s">
        <v>192</v>
      </c>
      <c r="B1640" s="5">
        <v>45210</v>
      </c>
      <c r="C1640" s="3">
        <v>0.625</v>
      </c>
      <c r="D1640" s="5">
        <v>45210</v>
      </c>
      <c r="E1640" s="3">
        <v>0.66666666666666663</v>
      </c>
      <c r="F1640" t="b">
        <v>0</v>
      </c>
      <c r="G1640" s="4" t="s">
        <v>193</v>
      </c>
      <c r="H1640" t="s">
        <v>242</v>
      </c>
      <c r="I1640" t="b">
        <v>0</v>
      </c>
    </row>
    <row r="1641" spans="1:9" ht="15" hidden="1" customHeight="1" x14ac:dyDescent="0.2">
      <c r="A1641" t="s">
        <v>192</v>
      </c>
      <c r="B1641" s="5">
        <v>45211</v>
      </c>
      <c r="C1641" s="3">
        <v>0.66666666666666663</v>
      </c>
      <c r="D1641" s="5">
        <v>45211</v>
      </c>
      <c r="E1641" s="3">
        <v>0.70833333333333326</v>
      </c>
      <c r="F1641" t="b">
        <v>0</v>
      </c>
      <c r="G1641" s="4" t="s">
        <v>193</v>
      </c>
      <c r="H1641" t="s">
        <v>242</v>
      </c>
      <c r="I1641" t="b">
        <v>0</v>
      </c>
    </row>
    <row r="1642" spans="1:9" ht="15" hidden="1" customHeight="1" x14ac:dyDescent="0.2">
      <c r="A1642" t="s">
        <v>192</v>
      </c>
      <c r="B1642" s="5">
        <v>45216</v>
      </c>
      <c r="C1642" s="3">
        <v>0.70833333333333337</v>
      </c>
      <c r="D1642" s="5">
        <v>45216</v>
      </c>
      <c r="E1642" s="3">
        <v>0.75</v>
      </c>
      <c r="F1642" t="b">
        <v>0</v>
      </c>
      <c r="G1642" s="4" t="s">
        <v>193</v>
      </c>
      <c r="H1642" t="s">
        <v>242</v>
      </c>
      <c r="I1642" t="b">
        <v>0</v>
      </c>
    </row>
    <row r="1643" spans="1:9" ht="15" hidden="1" customHeight="1" x14ac:dyDescent="0.2">
      <c r="A1643" t="s">
        <v>192</v>
      </c>
      <c r="B1643" s="5">
        <v>45217</v>
      </c>
      <c r="C1643" s="3">
        <v>0.625</v>
      </c>
      <c r="D1643" s="5">
        <v>45217</v>
      </c>
      <c r="E1643" s="3">
        <v>0.66666666666666663</v>
      </c>
      <c r="F1643" t="b">
        <v>0</v>
      </c>
      <c r="G1643" s="4" t="s">
        <v>193</v>
      </c>
      <c r="H1643" t="s">
        <v>242</v>
      </c>
      <c r="I1643" t="b">
        <v>0</v>
      </c>
    </row>
    <row r="1644" spans="1:9" ht="15" hidden="1" customHeight="1" x14ac:dyDescent="0.2">
      <c r="A1644" t="s">
        <v>192</v>
      </c>
      <c r="B1644" s="5">
        <v>45218</v>
      </c>
      <c r="C1644" s="3">
        <v>0.66666666666666663</v>
      </c>
      <c r="D1644" s="5">
        <v>45218</v>
      </c>
      <c r="E1644" s="3">
        <v>0.70833333333333326</v>
      </c>
      <c r="F1644" t="b">
        <v>0</v>
      </c>
      <c r="G1644" s="4" t="s">
        <v>193</v>
      </c>
      <c r="H1644" t="s">
        <v>242</v>
      </c>
      <c r="I1644" t="b">
        <v>0</v>
      </c>
    </row>
    <row r="1645" spans="1:9" ht="15" hidden="1" customHeight="1" x14ac:dyDescent="0.2">
      <c r="A1645" t="s">
        <v>192</v>
      </c>
      <c r="B1645" s="5">
        <v>45223</v>
      </c>
      <c r="C1645" s="3">
        <v>0.70833333333333337</v>
      </c>
      <c r="D1645" s="5">
        <v>45223</v>
      </c>
      <c r="E1645" s="3">
        <v>0.75</v>
      </c>
      <c r="F1645" t="b">
        <v>0</v>
      </c>
      <c r="G1645" s="4" t="s">
        <v>193</v>
      </c>
      <c r="H1645" t="s">
        <v>242</v>
      </c>
      <c r="I1645" t="b">
        <v>0</v>
      </c>
    </row>
    <row r="1646" spans="1:9" ht="15" hidden="1" customHeight="1" x14ac:dyDescent="0.2">
      <c r="A1646" t="s">
        <v>192</v>
      </c>
      <c r="B1646" s="5">
        <v>45224</v>
      </c>
      <c r="C1646" s="3">
        <v>0.625</v>
      </c>
      <c r="D1646" s="5">
        <v>45224</v>
      </c>
      <c r="E1646" s="3">
        <v>0.66666666666666663</v>
      </c>
      <c r="F1646" t="b">
        <v>0</v>
      </c>
      <c r="G1646" s="4" t="s">
        <v>193</v>
      </c>
      <c r="H1646" t="s">
        <v>242</v>
      </c>
      <c r="I1646" t="b">
        <v>0</v>
      </c>
    </row>
    <row r="1647" spans="1:9" ht="15" hidden="1" customHeight="1" x14ac:dyDescent="0.2">
      <c r="A1647" t="s">
        <v>192</v>
      </c>
      <c r="B1647" s="5">
        <v>45225</v>
      </c>
      <c r="C1647" s="3">
        <v>0.66666666666666663</v>
      </c>
      <c r="D1647" s="5">
        <v>45225</v>
      </c>
      <c r="E1647" s="3">
        <v>0.70833333333333326</v>
      </c>
      <c r="F1647" t="b">
        <v>0</v>
      </c>
      <c r="G1647" s="4" t="s">
        <v>193</v>
      </c>
      <c r="H1647" t="s">
        <v>242</v>
      </c>
      <c r="I1647" t="b">
        <v>0</v>
      </c>
    </row>
    <row r="1648" spans="1:9" ht="15" hidden="1" customHeight="1" x14ac:dyDescent="0.2">
      <c r="A1648" t="s">
        <v>192</v>
      </c>
      <c r="B1648" s="5">
        <v>45230</v>
      </c>
      <c r="C1648" s="3">
        <v>0.70833333333333337</v>
      </c>
      <c r="D1648" s="5">
        <v>45230</v>
      </c>
      <c r="E1648" s="3">
        <v>0.75</v>
      </c>
      <c r="F1648" t="b">
        <v>0</v>
      </c>
      <c r="G1648" s="4" t="s">
        <v>193</v>
      </c>
      <c r="H1648" t="s">
        <v>242</v>
      </c>
      <c r="I1648" t="b">
        <v>0</v>
      </c>
    </row>
    <row r="1649" spans="1:9" ht="15" hidden="1" customHeight="1" x14ac:dyDescent="0.2">
      <c r="A1649" t="s">
        <v>192</v>
      </c>
      <c r="B1649" s="5">
        <v>45231</v>
      </c>
      <c r="C1649" s="3">
        <v>0.625</v>
      </c>
      <c r="D1649" s="5">
        <v>45231</v>
      </c>
      <c r="E1649" s="3">
        <v>0.66666666666666663</v>
      </c>
      <c r="F1649" t="b">
        <v>0</v>
      </c>
      <c r="G1649" s="4" t="s">
        <v>193</v>
      </c>
      <c r="H1649" t="s">
        <v>242</v>
      </c>
      <c r="I1649" t="b">
        <v>0</v>
      </c>
    </row>
    <row r="1650" spans="1:9" ht="15" hidden="1" customHeight="1" x14ac:dyDescent="0.2">
      <c r="A1650" t="s">
        <v>192</v>
      </c>
      <c r="B1650" s="5">
        <v>45232</v>
      </c>
      <c r="C1650" s="3">
        <v>0.66666666666666663</v>
      </c>
      <c r="D1650" s="5">
        <v>45232</v>
      </c>
      <c r="E1650" s="3">
        <v>0.70833333333333326</v>
      </c>
      <c r="F1650" t="b">
        <v>0</v>
      </c>
      <c r="G1650" s="4" t="s">
        <v>193</v>
      </c>
      <c r="H1650" t="s">
        <v>242</v>
      </c>
      <c r="I1650" t="b">
        <v>0</v>
      </c>
    </row>
    <row r="1651" spans="1:9" ht="15" hidden="1" customHeight="1" x14ac:dyDescent="0.2">
      <c r="A1651" t="s">
        <v>192</v>
      </c>
      <c r="B1651" s="5">
        <v>45237</v>
      </c>
      <c r="C1651" s="3">
        <v>0.70833333333333337</v>
      </c>
      <c r="D1651" s="5">
        <v>45237</v>
      </c>
      <c r="E1651" s="3">
        <v>0.75</v>
      </c>
      <c r="F1651" t="b">
        <v>0</v>
      </c>
      <c r="G1651" s="4" t="s">
        <v>193</v>
      </c>
      <c r="H1651" t="s">
        <v>242</v>
      </c>
      <c r="I1651" t="b">
        <v>0</v>
      </c>
    </row>
    <row r="1652" spans="1:9" ht="15" hidden="1" customHeight="1" x14ac:dyDescent="0.2">
      <c r="A1652" t="s">
        <v>192</v>
      </c>
      <c r="B1652" s="5">
        <v>45238</v>
      </c>
      <c r="C1652" s="3">
        <v>0.625</v>
      </c>
      <c r="D1652" s="5">
        <v>45238</v>
      </c>
      <c r="E1652" s="3">
        <v>0.66666666666666663</v>
      </c>
      <c r="F1652" t="b">
        <v>0</v>
      </c>
      <c r="G1652" s="4" t="s">
        <v>193</v>
      </c>
      <c r="H1652" t="s">
        <v>242</v>
      </c>
      <c r="I1652" t="b">
        <v>0</v>
      </c>
    </row>
    <row r="1653" spans="1:9" ht="15" hidden="1" customHeight="1" x14ac:dyDescent="0.2">
      <c r="A1653" t="s">
        <v>192</v>
      </c>
      <c r="B1653" s="5">
        <v>45239</v>
      </c>
      <c r="C1653" s="3">
        <v>0.66666666666666663</v>
      </c>
      <c r="D1653" s="5">
        <v>45239</v>
      </c>
      <c r="E1653" s="3">
        <v>0.70833333333333326</v>
      </c>
      <c r="F1653" t="b">
        <v>0</v>
      </c>
      <c r="G1653" s="4" t="s">
        <v>193</v>
      </c>
      <c r="H1653" t="s">
        <v>242</v>
      </c>
      <c r="I1653" t="b">
        <v>0</v>
      </c>
    </row>
    <row r="1654" spans="1:9" ht="15" hidden="1" customHeight="1" x14ac:dyDescent="0.2">
      <c r="A1654" s="6" t="s">
        <v>269</v>
      </c>
      <c r="B1654" s="5">
        <v>45194</v>
      </c>
      <c r="C1654" s="3">
        <v>0.70833333333333337</v>
      </c>
      <c r="D1654" s="5">
        <v>45194</v>
      </c>
      <c r="E1654" s="3">
        <v>0.75</v>
      </c>
      <c r="F1654" t="b">
        <v>0</v>
      </c>
      <c r="G1654" s="8" t="s">
        <v>270</v>
      </c>
      <c r="H1654" t="s">
        <v>243</v>
      </c>
      <c r="I1654" t="b">
        <v>0</v>
      </c>
    </row>
    <row r="1655" spans="1:9" ht="15" hidden="1" customHeight="1" x14ac:dyDescent="0.2">
      <c r="A1655" t="s">
        <v>190</v>
      </c>
      <c r="B1655" s="5">
        <v>45195</v>
      </c>
      <c r="C1655" s="3">
        <v>0.39583333333333331</v>
      </c>
      <c r="D1655" s="5">
        <v>45195</v>
      </c>
      <c r="E1655" s="3">
        <v>0.4375</v>
      </c>
      <c r="F1655" t="b">
        <v>0</v>
      </c>
      <c r="G1655" s="4" t="s">
        <v>191</v>
      </c>
      <c r="H1655" t="s">
        <v>236</v>
      </c>
      <c r="I1655" t="b">
        <v>0</v>
      </c>
    </row>
    <row r="1656" spans="1:9" ht="15" hidden="1" customHeight="1" x14ac:dyDescent="0.2">
      <c r="A1656" t="s">
        <v>190</v>
      </c>
      <c r="B1656" s="5">
        <v>45197</v>
      </c>
      <c r="C1656" s="3">
        <v>0.35416666666666669</v>
      </c>
      <c r="D1656" s="5">
        <v>45197</v>
      </c>
      <c r="E1656" s="3">
        <v>0.39583333333333337</v>
      </c>
      <c r="F1656" t="b">
        <v>0</v>
      </c>
      <c r="G1656" s="4" t="s">
        <v>191</v>
      </c>
      <c r="H1656" t="s">
        <v>236</v>
      </c>
      <c r="I1656" t="b">
        <v>0</v>
      </c>
    </row>
    <row r="1657" spans="1:9" ht="15" hidden="1" customHeight="1" x14ac:dyDescent="0.2">
      <c r="A1657" t="s">
        <v>190</v>
      </c>
      <c r="B1657" s="5">
        <v>45201</v>
      </c>
      <c r="C1657" s="3">
        <v>0.625</v>
      </c>
      <c r="D1657" s="5">
        <v>45201</v>
      </c>
      <c r="E1657" s="3">
        <v>0.66666666666666663</v>
      </c>
      <c r="F1657" t="b">
        <v>0</v>
      </c>
      <c r="G1657" s="4" t="s">
        <v>191</v>
      </c>
      <c r="H1657" t="s">
        <v>236</v>
      </c>
      <c r="I1657" t="b">
        <v>0</v>
      </c>
    </row>
    <row r="1658" spans="1:9" ht="15" hidden="1" customHeight="1" x14ac:dyDescent="0.2">
      <c r="A1658" t="s">
        <v>190</v>
      </c>
      <c r="B1658" s="5">
        <v>45202</v>
      </c>
      <c r="C1658" s="3">
        <v>0.39583333333333331</v>
      </c>
      <c r="D1658" s="5">
        <v>45202</v>
      </c>
      <c r="E1658" s="3">
        <v>0.4375</v>
      </c>
      <c r="F1658" t="b">
        <v>0</v>
      </c>
      <c r="G1658" s="4" t="s">
        <v>191</v>
      </c>
      <c r="H1658" t="s">
        <v>236</v>
      </c>
      <c r="I1658" t="b">
        <v>0</v>
      </c>
    </row>
    <row r="1659" spans="1:9" ht="15" hidden="1" customHeight="1" x14ac:dyDescent="0.2">
      <c r="A1659" t="s">
        <v>190</v>
      </c>
      <c r="B1659" s="5">
        <v>45204</v>
      </c>
      <c r="C1659" s="3">
        <v>0.35416666666666669</v>
      </c>
      <c r="D1659" s="5">
        <v>45204</v>
      </c>
      <c r="E1659" s="3">
        <v>0.39583333333333337</v>
      </c>
      <c r="F1659" t="b">
        <v>0</v>
      </c>
      <c r="G1659" s="4" t="s">
        <v>191</v>
      </c>
      <c r="H1659" t="s">
        <v>236</v>
      </c>
      <c r="I1659" t="b">
        <v>0</v>
      </c>
    </row>
    <row r="1660" spans="1:9" ht="15" hidden="1" customHeight="1" x14ac:dyDescent="0.2">
      <c r="A1660" t="s">
        <v>190</v>
      </c>
      <c r="B1660" s="5">
        <v>45208</v>
      </c>
      <c r="C1660" s="3">
        <v>0.625</v>
      </c>
      <c r="D1660" s="5">
        <v>45208</v>
      </c>
      <c r="E1660" s="3">
        <v>0.66666666666666663</v>
      </c>
      <c r="F1660" t="b">
        <v>0</v>
      </c>
      <c r="G1660" s="4" t="s">
        <v>191</v>
      </c>
      <c r="H1660" t="s">
        <v>236</v>
      </c>
      <c r="I1660" t="b">
        <v>0</v>
      </c>
    </row>
    <row r="1661" spans="1:9" ht="15" hidden="1" customHeight="1" x14ac:dyDescent="0.2">
      <c r="A1661" t="s">
        <v>190</v>
      </c>
      <c r="B1661" s="5">
        <v>45209</v>
      </c>
      <c r="C1661" s="3">
        <v>0.39583333333333331</v>
      </c>
      <c r="D1661" s="5">
        <v>45209</v>
      </c>
      <c r="E1661" s="3">
        <v>0.4375</v>
      </c>
      <c r="F1661" t="b">
        <v>0</v>
      </c>
      <c r="G1661" s="4" t="s">
        <v>191</v>
      </c>
      <c r="H1661" t="s">
        <v>236</v>
      </c>
      <c r="I1661" t="b">
        <v>0</v>
      </c>
    </row>
    <row r="1662" spans="1:9" ht="15" hidden="1" customHeight="1" x14ac:dyDescent="0.2">
      <c r="A1662" t="s">
        <v>190</v>
      </c>
      <c r="B1662" s="5">
        <v>45211</v>
      </c>
      <c r="C1662" s="3">
        <v>0.35416666666666669</v>
      </c>
      <c r="D1662" s="5">
        <v>45211</v>
      </c>
      <c r="E1662" s="3">
        <v>0.39583333333333337</v>
      </c>
      <c r="F1662" t="b">
        <v>0</v>
      </c>
      <c r="G1662" s="4" t="s">
        <v>191</v>
      </c>
      <c r="H1662" t="s">
        <v>236</v>
      </c>
      <c r="I1662" t="b">
        <v>0</v>
      </c>
    </row>
    <row r="1663" spans="1:9" ht="15" hidden="1" customHeight="1" x14ac:dyDescent="0.2">
      <c r="A1663" t="s">
        <v>190</v>
      </c>
      <c r="B1663" s="5">
        <v>45215</v>
      </c>
      <c r="C1663" s="3">
        <v>0.625</v>
      </c>
      <c r="D1663" s="5">
        <v>45215</v>
      </c>
      <c r="E1663" s="3">
        <v>0.66666666666666663</v>
      </c>
      <c r="F1663" t="b">
        <v>0</v>
      </c>
      <c r="G1663" s="4" t="s">
        <v>191</v>
      </c>
      <c r="H1663" t="s">
        <v>236</v>
      </c>
      <c r="I1663" t="b">
        <v>0</v>
      </c>
    </row>
    <row r="1664" spans="1:9" ht="15" hidden="1" customHeight="1" x14ac:dyDescent="0.2">
      <c r="A1664" t="s">
        <v>190</v>
      </c>
      <c r="B1664" s="5">
        <v>45216</v>
      </c>
      <c r="C1664" s="3">
        <v>0.39583333333333331</v>
      </c>
      <c r="D1664" s="5">
        <v>45216</v>
      </c>
      <c r="E1664" s="3">
        <v>0.4375</v>
      </c>
      <c r="F1664" t="b">
        <v>0</v>
      </c>
      <c r="G1664" s="4" t="s">
        <v>191</v>
      </c>
      <c r="H1664" t="s">
        <v>236</v>
      </c>
      <c r="I1664" t="b">
        <v>0</v>
      </c>
    </row>
    <row r="1665" spans="1:9" ht="15" hidden="1" customHeight="1" x14ac:dyDescent="0.2">
      <c r="A1665" t="s">
        <v>190</v>
      </c>
      <c r="B1665" s="5">
        <v>45218</v>
      </c>
      <c r="C1665" s="3">
        <v>0.35416666666666669</v>
      </c>
      <c r="D1665" s="5">
        <v>45218</v>
      </c>
      <c r="E1665" s="3">
        <v>0.39583333333333337</v>
      </c>
      <c r="F1665" t="b">
        <v>0</v>
      </c>
      <c r="G1665" s="4" t="s">
        <v>191</v>
      </c>
      <c r="H1665" t="s">
        <v>236</v>
      </c>
      <c r="I1665" t="b">
        <v>0</v>
      </c>
    </row>
    <row r="1666" spans="1:9" ht="15" hidden="1" customHeight="1" x14ac:dyDescent="0.2">
      <c r="A1666" t="s">
        <v>190</v>
      </c>
      <c r="B1666" s="5">
        <v>45222</v>
      </c>
      <c r="C1666" s="3">
        <v>0.625</v>
      </c>
      <c r="D1666" s="5">
        <v>45222</v>
      </c>
      <c r="E1666" s="3">
        <v>0.66666666666666663</v>
      </c>
      <c r="F1666" t="b">
        <v>0</v>
      </c>
      <c r="G1666" s="4" t="s">
        <v>191</v>
      </c>
      <c r="H1666" t="s">
        <v>236</v>
      </c>
      <c r="I1666" t="b">
        <v>0</v>
      </c>
    </row>
    <row r="1667" spans="1:9" ht="15" hidden="1" customHeight="1" x14ac:dyDescent="0.2">
      <c r="A1667" t="s">
        <v>190</v>
      </c>
      <c r="B1667" s="5">
        <v>45223</v>
      </c>
      <c r="C1667" s="3">
        <v>0.39583333333333331</v>
      </c>
      <c r="D1667" s="5">
        <v>45223</v>
      </c>
      <c r="E1667" s="3">
        <v>0.4375</v>
      </c>
      <c r="F1667" t="b">
        <v>0</v>
      </c>
      <c r="G1667" s="4" t="s">
        <v>191</v>
      </c>
      <c r="H1667" t="s">
        <v>236</v>
      </c>
      <c r="I1667" t="b">
        <v>0</v>
      </c>
    </row>
    <row r="1668" spans="1:9" ht="15" hidden="1" customHeight="1" x14ac:dyDescent="0.2">
      <c r="A1668" t="s">
        <v>190</v>
      </c>
      <c r="B1668" s="5">
        <v>45225</v>
      </c>
      <c r="C1668" s="3">
        <v>0.35416666666666669</v>
      </c>
      <c r="D1668" s="5">
        <v>45225</v>
      </c>
      <c r="E1668" s="3">
        <v>0.39583333333333337</v>
      </c>
      <c r="F1668" t="b">
        <v>0</v>
      </c>
      <c r="G1668" s="4" t="s">
        <v>191</v>
      </c>
      <c r="H1668" t="s">
        <v>236</v>
      </c>
      <c r="I1668" t="b">
        <v>0</v>
      </c>
    </row>
    <row r="1669" spans="1:9" ht="15" hidden="1" customHeight="1" x14ac:dyDescent="0.2">
      <c r="A1669" t="s">
        <v>190</v>
      </c>
      <c r="B1669" s="5">
        <v>45229</v>
      </c>
      <c r="C1669" s="3">
        <v>0.625</v>
      </c>
      <c r="D1669" s="5">
        <v>45229</v>
      </c>
      <c r="E1669" s="3">
        <v>0.66666666666666663</v>
      </c>
      <c r="F1669" t="b">
        <v>0</v>
      </c>
      <c r="G1669" s="4" t="s">
        <v>191</v>
      </c>
      <c r="H1669" t="s">
        <v>236</v>
      </c>
      <c r="I1669" t="b">
        <v>0</v>
      </c>
    </row>
    <row r="1670" spans="1:9" ht="15" hidden="1" customHeight="1" x14ac:dyDescent="0.2">
      <c r="A1670" t="s">
        <v>190</v>
      </c>
      <c r="B1670" s="5">
        <v>45230</v>
      </c>
      <c r="C1670" s="3">
        <v>0.39583333333333331</v>
      </c>
      <c r="D1670" s="5">
        <v>45230</v>
      </c>
      <c r="E1670" s="3">
        <v>0.4375</v>
      </c>
      <c r="F1670" t="b">
        <v>0</v>
      </c>
      <c r="G1670" s="4" t="s">
        <v>191</v>
      </c>
      <c r="H1670" t="s">
        <v>236</v>
      </c>
      <c r="I1670" t="b">
        <v>0</v>
      </c>
    </row>
    <row r="1671" spans="1:9" ht="15" hidden="1" customHeight="1" x14ac:dyDescent="0.2">
      <c r="A1671" t="s">
        <v>190</v>
      </c>
      <c r="B1671" s="5">
        <v>45232</v>
      </c>
      <c r="C1671" s="3">
        <v>0.35416666666666669</v>
      </c>
      <c r="D1671" s="5">
        <v>45232</v>
      </c>
      <c r="E1671" s="3">
        <v>0.39583333333333337</v>
      </c>
      <c r="F1671" t="b">
        <v>0</v>
      </c>
      <c r="G1671" s="4" t="s">
        <v>191</v>
      </c>
      <c r="H1671" t="s">
        <v>236</v>
      </c>
      <c r="I1671" t="b">
        <v>0</v>
      </c>
    </row>
    <row r="1672" spans="1:9" ht="15" hidden="1" customHeight="1" x14ac:dyDescent="0.2">
      <c r="A1672" t="s">
        <v>190</v>
      </c>
      <c r="B1672" s="5">
        <v>45236</v>
      </c>
      <c r="C1672" s="3">
        <v>0.625</v>
      </c>
      <c r="D1672" s="5">
        <v>45236</v>
      </c>
      <c r="E1672" s="3">
        <v>0.66666666666666663</v>
      </c>
      <c r="F1672" t="b">
        <v>0</v>
      </c>
      <c r="G1672" s="4" t="s">
        <v>191</v>
      </c>
      <c r="H1672" t="s">
        <v>236</v>
      </c>
      <c r="I1672" t="b">
        <v>0</v>
      </c>
    </row>
    <row r="1673" spans="1:9" ht="15" hidden="1" customHeight="1" x14ac:dyDescent="0.2">
      <c r="A1673" t="s">
        <v>190</v>
      </c>
      <c r="B1673" s="5">
        <v>45237</v>
      </c>
      <c r="C1673" s="3">
        <v>0.39583333333333331</v>
      </c>
      <c r="D1673" s="5">
        <v>45237</v>
      </c>
      <c r="E1673" s="3">
        <v>0.4375</v>
      </c>
      <c r="F1673" t="b">
        <v>0</v>
      </c>
      <c r="G1673" s="4" t="s">
        <v>191</v>
      </c>
      <c r="H1673" t="s">
        <v>236</v>
      </c>
      <c r="I1673" t="b">
        <v>0</v>
      </c>
    </row>
    <row r="1674" spans="1:9" ht="15" hidden="1" customHeight="1" x14ac:dyDescent="0.2">
      <c r="A1674" t="s">
        <v>190</v>
      </c>
      <c r="B1674" s="5">
        <v>45239</v>
      </c>
      <c r="C1674" s="3">
        <v>0.35416666666666669</v>
      </c>
      <c r="D1674" s="5">
        <v>45239</v>
      </c>
      <c r="E1674" s="3">
        <v>0.39583333333333337</v>
      </c>
      <c r="F1674" t="b">
        <v>0</v>
      </c>
      <c r="G1674" s="4" t="s">
        <v>191</v>
      </c>
      <c r="H1674" t="s">
        <v>236</v>
      </c>
      <c r="I1674" t="b">
        <v>0</v>
      </c>
    </row>
    <row r="1675" spans="1:9" ht="15" hidden="1" customHeight="1" x14ac:dyDescent="0.2">
      <c r="A1675" s="6" t="s">
        <v>265</v>
      </c>
      <c r="B1675" s="5">
        <v>45194</v>
      </c>
      <c r="C1675" s="3">
        <v>0.70833333333333337</v>
      </c>
      <c r="D1675" s="5">
        <v>45194</v>
      </c>
      <c r="E1675" s="3">
        <v>0.75</v>
      </c>
      <c r="F1675" t="b">
        <v>0</v>
      </c>
      <c r="G1675" s="7" t="s">
        <v>266</v>
      </c>
      <c r="H1675" t="s">
        <v>247</v>
      </c>
      <c r="I1675" t="b">
        <v>0</v>
      </c>
    </row>
    <row r="1676" spans="1:9" ht="15" hidden="1" customHeight="1" x14ac:dyDescent="0.2">
      <c r="A1676" s="6" t="s">
        <v>267</v>
      </c>
      <c r="B1676" s="5">
        <v>45196</v>
      </c>
      <c r="C1676" s="3">
        <v>0.66666666666666663</v>
      </c>
      <c r="D1676" s="5">
        <v>45196</v>
      </c>
      <c r="E1676" s="3">
        <v>0.70833333333333326</v>
      </c>
      <c r="F1676" t="b">
        <v>0</v>
      </c>
      <c r="G1676" s="7" t="s">
        <v>268</v>
      </c>
      <c r="H1676" t="s">
        <v>258</v>
      </c>
      <c r="I1676" t="b">
        <v>0</v>
      </c>
    </row>
    <row r="1677" spans="1:9" ht="15" hidden="1" customHeight="1" x14ac:dyDescent="0.2">
      <c r="A1677" s="6" t="s">
        <v>267</v>
      </c>
      <c r="B1677" s="5">
        <v>45198</v>
      </c>
      <c r="C1677" s="3">
        <v>0.58333333333333337</v>
      </c>
      <c r="D1677" s="5">
        <v>45198</v>
      </c>
      <c r="E1677" s="3">
        <v>0.625</v>
      </c>
      <c r="F1677" t="b">
        <v>0</v>
      </c>
      <c r="G1677" s="7" t="s">
        <v>268</v>
      </c>
      <c r="H1677" t="s">
        <v>258</v>
      </c>
      <c r="I1677" t="b">
        <v>0</v>
      </c>
    </row>
    <row r="1678" spans="1:9" ht="15" hidden="1" customHeight="1" x14ac:dyDescent="0.2">
      <c r="A1678" s="3" t="s">
        <v>267</v>
      </c>
      <c r="B1678" s="5">
        <v>45201</v>
      </c>
      <c r="C1678" s="3">
        <v>0.70833333333333337</v>
      </c>
      <c r="D1678" s="5">
        <v>45201</v>
      </c>
      <c r="E1678" s="3">
        <v>0.75</v>
      </c>
      <c r="F1678" t="b">
        <v>0</v>
      </c>
      <c r="G1678" s="3" t="s">
        <v>268</v>
      </c>
      <c r="H1678" s="3" t="s">
        <v>258</v>
      </c>
      <c r="I1678" t="b">
        <v>0</v>
      </c>
    </row>
    <row r="1679" spans="1:9" ht="15" hidden="1" customHeight="1" x14ac:dyDescent="0.2">
      <c r="A1679" s="3" t="s">
        <v>267</v>
      </c>
      <c r="B1679" s="5">
        <v>45203</v>
      </c>
      <c r="C1679" s="3">
        <v>0.66666666666666663</v>
      </c>
      <c r="D1679" s="5">
        <v>45203</v>
      </c>
      <c r="E1679" s="3">
        <v>0.70833333333333326</v>
      </c>
      <c r="F1679" t="b">
        <v>0</v>
      </c>
      <c r="G1679" s="3" t="s">
        <v>268</v>
      </c>
      <c r="H1679" s="3" t="s">
        <v>258</v>
      </c>
      <c r="I1679" t="b">
        <v>0</v>
      </c>
    </row>
    <row r="1680" spans="1:9" ht="15" hidden="1" customHeight="1" x14ac:dyDescent="0.2">
      <c r="A1680" s="3" t="s">
        <v>267</v>
      </c>
      <c r="B1680" s="5">
        <v>45205</v>
      </c>
      <c r="C1680" s="3">
        <v>0.58333333333333337</v>
      </c>
      <c r="D1680" s="5">
        <v>45205</v>
      </c>
      <c r="E1680" s="3">
        <v>0.625</v>
      </c>
      <c r="F1680" t="b">
        <v>0</v>
      </c>
      <c r="G1680" s="3" t="s">
        <v>268</v>
      </c>
      <c r="H1680" s="3" t="s">
        <v>258</v>
      </c>
      <c r="I1680" t="b">
        <v>0</v>
      </c>
    </row>
    <row r="1681" spans="1:9" ht="15" hidden="1" customHeight="1" x14ac:dyDescent="0.2">
      <c r="A1681" s="3" t="s">
        <v>267</v>
      </c>
      <c r="B1681" s="5">
        <v>45208</v>
      </c>
      <c r="C1681" s="3">
        <v>0.70833333333333337</v>
      </c>
      <c r="D1681" s="5">
        <v>45208</v>
      </c>
      <c r="E1681" s="3">
        <v>0.75</v>
      </c>
      <c r="F1681" t="b">
        <v>0</v>
      </c>
      <c r="G1681" s="3" t="s">
        <v>268</v>
      </c>
      <c r="H1681" s="3" t="s">
        <v>258</v>
      </c>
      <c r="I1681" t="b">
        <v>0</v>
      </c>
    </row>
    <row r="1682" spans="1:9" ht="15" hidden="1" customHeight="1" x14ac:dyDescent="0.2">
      <c r="A1682" s="3" t="s">
        <v>267</v>
      </c>
      <c r="B1682" s="5">
        <v>45210</v>
      </c>
      <c r="C1682" s="3">
        <v>0.66666666666666663</v>
      </c>
      <c r="D1682" s="5">
        <v>45210</v>
      </c>
      <c r="E1682" s="3">
        <v>0.70833333333333326</v>
      </c>
      <c r="F1682" t="b">
        <v>0</v>
      </c>
      <c r="G1682" s="3" t="s">
        <v>268</v>
      </c>
      <c r="H1682" s="3" t="s">
        <v>258</v>
      </c>
      <c r="I1682" t="b">
        <v>0</v>
      </c>
    </row>
    <row r="1683" spans="1:9" ht="15" hidden="1" customHeight="1" x14ac:dyDescent="0.2">
      <c r="A1683" s="3" t="s">
        <v>267</v>
      </c>
      <c r="B1683" s="5">
        <v>45212</v>
      </c>
      <c r="C1683" s="3">
        <v>0.58333333333333337</v>
      </c>
      <c r="D1683" s="5">
        <v>45212</v>
      </c>
      <c r="E1683" s="3">
        <v>0.625</v>
      </c>
      <c r="F1683" t="b">
        <v>0</v>
      </c>
      <c r="G1683" s="3" t="s">
        <v>268</v>
      </c>
      <c r="H1683" s="3" t="s">
        <v>258</v>
      </c>
      <c r="I1683" t="b">
        <v>0</v>
      </c>
    </row>
    <row r="1684" spans="1:9" ht="15" hidden="1" customHeight="1" x14ac:dyDescent="0.2">
      <c r="A1684" s="3" t="s">
        <v>267</v>
      </c>
      <c r="B1684" s="5">
        <v>45215</v>
      </c>
      <c r="C1684" s="3">
        <v>0.70833333333333337</v>
      </c>
      <c r="D1684" s="5">
        <v>45215</v>
      </c>
      <c r="E1684" s="3">
        <v>0.75</v>
      </c>
      <c r="F1684" t="b">
        <v>0</v>
      </c>
      <c r="G1684" s="3" t="s">
        <v>268</v>
      </c>
      <c r="H1684" s="3" t="s">
        <v>258</v>
      </c>
      <c r="I1684" t="b">
        <v>0</v>
      </c>
    </row>
    <row r="1685" spans="1:9" ht="15" hidden="1" customHeight="1" x14ac:dyDescent="0.2">
      <c r="A1685" s="3" t="s">
        <v>267</v>
      </c>
      <c r="B1685" s="5">
        <v>45217</v>
      </c>
      <c r="C1685" s="3">
        <v>0.66666666666666663</v>
      </c>
      <c r="D1685" s="5">
        <v>45217</v>
      </c>
      <c r="E1685" s="3">
        <v>0.70833333333333326</v>
      </c>
      <c r="F1685" t="b">
        <v>0</v>
      </c>
      <c r="G1685" s="3" t="s">
        <v>268</v>
      </c>
      <c r="H1685" s="3" t="s">
        <v>258</v>
      </c>
      <c r="I1685" t="b">
        <v>0</v>
      </c>
    </row>
    <row r="1686" spans="1:9" ht="15" hidden="1" customHeight="1" x14ac:dyDescent="0.2">
      <c r="A1686" s="3" t="s">
        <v>267</v>
      </c>
      <c r="B1686" s="5">
        <v>45219</v>
      </c>
      <c r="C1686" s="3">
        <v>0.58333333333333337</v>
      </c>
      <c r="D1686" s="5">
        <v>45219</v>
      </c>
      <c r="E1686" s="3">
        <v>0.625</v>
      </c>
      <c r="F1686" t="b">
        <v>0</v>
      </c>
      <c r="G1686" s="3" t="s">
        <v>268</v>
      </c>
      <c r="H1686" s="3" t="s">
        <v>258</v>
      </c>
      <c r="I1686" t="b">
        <v>0</v>
      </c>
    </row>
    <row r="1687" spans="1:9" ht="15" hidden="1" customHeight="1" x14ac:dyDescent="0.2">
      <c r="A1687" s="3" t="s">
        <v>267</v>
      </c>
      <c r="B1687" s="5">
        <v>45222</v>
      </c>
      <c r="C1687" s="3">
        <v>0.70833333333333337</v>
      </c>
      <c r="D1687" s="5">
        <v>45222</v>
      </c>
      <c r="E1687" s="3">
        <v>0.75</v>
      </c>
      <c r="F1687" t="b">
        <v>0</v>
      </c>
      <c r="G1687" s="3" t="s">
        <v>268</v>
      </c>
      <c r="H1687" s="3" t="s">
        <v>258</v>
      </c>
      <c r="I1687" t="b">
        <v>0</v>
      </c>
    </row>
    <row r="1688" spans="1:9" ht="15" hidden="1" customHeight="1" x14ac:dyDescent="0.2">
      <c r="A1688" s="3" t="s">
        <v>267</v>
      </c>
      <c r="B1688" s="5">
        <v>45224</v>
      </c>
      <c r="C1688" s="3">
        <v>0.66666666666666663</v>
      </c>
      <c r="D1688" s="5">
        <v>45224</v>
      </c>
      <c r="E1688" s="3">
        <v>0.70833333333333326</v>
      </c>
      <c r="F1688" t="b">
        <v>0</v>
      </c>
      <c r="G1688" s="3" t="s">
        <v>268</v>
      </c>
      <c r="H1688" s="3" t="s">
        <v>258</v>
      </c>
      <c r="I1688" t="b">
        <v>0</v>
      </c>
    </row>
    <row r="1689" spans="1:9" ht="15" hidden="1" customHeight="1" x14ac:dyDescent="0.2">
      <c r="A1689" s="3" t="s">
        <v>267</v>
      </c>
      <c r="B1689" s="5">
        <v>45226</v>
      </c>
      <c r="C1689" s="3">
        <v>0.58333333333333337</v>
      </c>
      <c r="D1689" s="5">
        <v>45226</v>
      </c>
      <c r="E1689" s="3">
        <v>0.625</v>
      </c>
      <c r="F1689" t="b">
        <v>0</v>
      </c>
      <c r="G1689" s="3" t="s">
        <v>268</v>
      </c>
      <c r="H1689" s="3" t="s">
        <v>258</v>
      </c>
      <c r="I1689" t="b">
        <v>0</v>
      </c>
    </row>
    <row r="1690" spans="1:9" ht="15" hidden="1" customHeight="1" x14ac:dyDescent="0.2">
      <c r="A1690" s="3" t="s">
        <v>267</v>
      </c>
      <c r="B1690" s="5">
        <v>45229</v>
      </c>
      <c r="C1690" s="3">
        <v>0.70833333333333337</v>
      </c>
      <c r="D1690" s="5">
        <v>45229</v>
      </c>
      <c r="E1690" s="3">
        <v>0.75</v>
      </c>
      <c r="F1690" t="b">
        <v>0</v>
      </c>
      <c r="G1690" s="3" t="s">
        <v>268</v>
      </c>
      <c r="H1690" s="3" t="s">
        <v>258</v>
      </c>
      <c r="I1690" t="b">
        <v>0</v>
      </c>
    </row>
    <row r="1691" spans="1:9" ht="15" hidden="1" customHeight="1" x14ac:dyDescent="0.2">
      <c r="A1691" s="3" t="s">
        <v>267</v>
      </c>
      <c r="B1691" s="5">
        <v>45231</v>
      </c>
      <c r="C1691" s="3">
        <v>0.66666666666666663</v>
      </c>
      <c r="D1691" s="5">
        <v>45231</v>
      </c>
      <c r="E1691" s="3">
        <v>0.70833333333333326</v>
      </c>
      <c r="F1691" t="b">
        <v>0</v>
      </c>
      <c r="G1691" s="3" t="s">
        <v>268</v>
      </c>
      <c r="H1691" s="3" t="s">
        <v>258</v>
      </c>
      <c r="I1691" t="b">
        <v>0</v>
      </c>
    </row>
    <row r="1692" spans="1:9" ht="15" hidden="1" customHeight="1" x14ac:dyDescent="0.2">
      <c r="A1692" s="3" t="s">
        <v>267</v>
      </c>
      <c r="B1692" s="5">
        <v>45233</v>
      </c>
      <c r="C1692" s="3">
        <v>0.58333333333333337</v>
      </c>
      <c r="D1692" s="5">
        <v>45233</v>
      </c>
      <c r="E1692" s="3">
        <v>0.625</v>
      </c>
      <c r="F1692" t="b">
        <v>0</v>
      </c>
      <c r="G1692" s="3" t="s">
        <v>268</v>
      </c>
      <c r="H1692" s="3" t="s">
        <v>258</v>
      </c>
      <c r="I1692" t="b">
        <v>0</v>
      </c>
    </row>
    <row r="1693" spans="1:9" ht="15" hidden="1" customHeight="1" x14ac:dyDescent="0.2">
      <c r="A1693" s="3" t="s">
        <v>267</v>
      </c>
      <c r="B1693" s="5">
        <v>45236</v>
      </c>
      <c r="C1693" s="3">
        <v>0.70833333333333337</v>
      </c>
      <c r="D1693" s="5">
        <v>45236</v>
      </c>
      <c r="E1693" s="3">
        <v>0.75</v>
      </c>
      <c r="F1693" t="b">
        <v>0</v>
      </c>
      <c r="G1693" s="3" t="s">
        <v>268</v>
      </c>
      <c r="H1693" s="3" t="s">
        <v>258</v>
      </c>
      <c r="I1693" t="b">
        <v>0</v>
      </c>
    </row>
    <row r="1694" spans="1:9" ht="15" hidden="1" customHeight="1" x14ac:dyDescent="0.2">
      <c r="A1694" s="3" t="s">
        <v>267</v>
      </c>
      <c r="B1694" s="5">
        <v>45238</v>
      </c>
      <c r="C1694" s="3">
        <v>0.66666666666666663</v>
      </c>
      <c r="D1694" s="5">
        <v>45238</v>
      </c>
      <c r="E1694" s="3">
        <v>0.70833333333333326</v>
      </c>
      <c r="F1694" t="b">
        <v>0</v>
      </c>
      <c r="G1694" s="3" t="s">
        <v>268</v>
      </c>
      <c r="H1694" s="3" t="s">
        <v>258</v>
      </c>
      <c r="I1694" t="b">
        <v>0</v>
      </c>
    </row>
    <row r="1695" spans="1:9" ht="15" hidden="1" customHeight="1" x14ac:dyDescent="0.2">
      <c r="A1695" s="3" t="s">
        <v>267</v>
      </c>
      <c r="B1695" s="5">
        <v>45240</v>
      </c>
      <c r="C1695" s="3">
        <v>0.58333333333333337</v>
      </c>
      <c r="D1695" s="5">
        <v>45240</v>
      </c>
      <c r="E1695" s="3">
        <v>0.625</v>
      </c>
      <c r="F1695" t="b">
        <v>0</v>
      </c>
      <c r="G1695" s="3" t="s">
        <v>268</v>
      </c>
      <c r="H1695" s="3" t="s">
        <v>258</v>
      </c>
      <c r="I1695" t="b">
        <v>0</v>
      </c>
    </row>
    <row r="1696" spans="1:9" ht="15" hidden="1" customHeight="1" x14ac:dyDescent="0.2">
      <c r="A1696" s="6" t="s">
        <v>267</v>
      </c>
      <c r="B1696" s="5">
        <v>45194</v>
      </c>
      <c r="C1696" s="3">
        <v>0.70833333333333337</v>
      </c>
      <c r="D1696" s="5">
        <v>45194</v>
      </c>
      <c r="E1696" s="3">
        <v>0.75</v>
      </c>
      <c r="F1696" t="b">
        <v>0</v>
      </c>
      <c r="G1696" s="7" t="s">
        <v>268</v>
      </c>
      <c r="H1696" t="s">
        <v>258</v>
      </c>
      <c r="I1696" t="b">
        <v>0</v>
      </c>
    </row>
    <row r="1697" spans="1:9" ht="15" hidden="1" customHeight="1" x14ac:dyDescent="0.2">
      <c r="A1697" s="6" t="s">
        <v>234</v>
      </c>
      <c r="B1697" s="5">
        <v>45196</v>
      </c>
      <c r="C1697" s="3">
        <v>0.4375</v>
      </c>
      <c r="D1697" s="5">
        <v>45196</v>
      </c>
      <c r="E1697" s="3">
        <v>0.47916666666666669</v>
      </c>
      <c r="F1697" t="b">
        <v>0</v>
      </c>
      <c r="G1697" s="7" t="s">
        <v>235</v>
      </c>
      <c r="H1697" t="s">
        <v>236</v>
      </c>
      <c r="I1697" t="b">
        <v>0</v>
      </c>
    </row>
    <row r="1698" spans="1:9" ht="15" hidden="1" customHeight="1" x14ac:dyDescent="0.2">
      <c r="A1698" s="6" t="s">
        <v>234</v>
      </c>
      <c r="B1698" s="5">
        <v>45198</v>
      </c>
      <c r="C1698" s="3">
        <v>0.47916666666666669</v>
      </c>
      <c r="D1698" s="5">
        <v>45198</v>
      </c>
      <c r="E1698" s="3">
        <v>0.52083333333333337</v>
      </c>
      <c r="F1698" t="b">
        <v>0</v>
      </c>
      <c r="G1698" s="7" t="s">
        <v>235</v>
      </c>
      <c r="H1698" t="s">
        <v>236</v>
      </c>
      <c r="I1698" t="b">
        <v>0</v>
      </c>
    </row>
    <row r="1699" spans="1:9" ht="15" hidden="1" customHeight="1" x14ac:dyDescent="0.2">
      <c r="A1699" s="3" t="s">
        <v>234</v>
      </c>
      <c r="B1699" s="5">
        <v>45201</v>
      </c>
      <c r="C1699" s="3">
        <v>0.39583333333333331</v>
      </c>
      <c r="D1699" s="5">
        <v>45201</v>
      </c>
      <c r="E1699" s="3">
        <v>0.4375</v>
      </c>
      <c r="F1699" t="b">
        <v>0</v>
      </c>
      <c r="G1699" s="3" t="s">
        <v>235</v>
      </c>
      <c r="H1699" s="3" t="s">
        <v>236</v>
      </c>
      <c r="I1699" t="b">
        <v>0</v>
      </c>
    </row>
    <row r="1700" spans="1:9" ht="15" hidden="1" customHeight="1" x14ac:dyDescent="0.2">
      <c r="A1700" s="3" t="s">
        <v>234</v>
      </c>
      <c r="B1700" s="5">
        <v>45203</v>
      </c>
      <c r="C1700" s="3">
        <v>0.4375</v>
      </c>
      <c r="D1700" s="5">
        <v>45203</v>
      </c>
      <c r="E1700" s="3">
        <v>0.47916666666666669</v>
      </c>
      <c r="F1700" t="b">
        <v>0</v>
      </c>
      <c r="G1700" s="3" t="s">
        <v>235</v>
      </c>
      <c r="H1700" s="3" t="s">
        <v>236</v>
      </c>
      <c r="I1700" t="b">
        <v>0</v>
      </c>
    </row>
    <row r="1701" spans="1:9" ht="15" hidden="1" customHeight="1" x14ac:dyDescent="0.2">
      <c r="A1701" s="3" t="s">
        <v>234</v>
      </c>
      <c r="B1701" s="5">
        <v>45205</v>
      </c>
      <c r="C1701" s="3">
        <v>0.47916666666666669</v>
      </c>
      <c r="D1701" s="5">
        <v>45205</v>
      </c>
      <c r="E1701" s="3">
        <v>0.52083333333333337</v>
      </c>
      <c r="F1701" t="b">
        <v>0</v>
      </c>
      <c r="G1701" s="3" t="s">
        <v>235</v>
      </c>
      <c r="H1701" s="3" t="s">
        <v>236</v>
      </c>
      <c r="I1701" t="b">
        <v>0</v>
      </c>
    </row>
    <row r="1702" spans="1:9" ht="15" hidden="1" customHeight="1" x14ac:dyDescent="0.2">
      <c r="A1702" s="3" t="s">
        <v>234</v>
      </c>
      <c r="B1702" s="5">
        <v>45208</v>
      </c>
      <c r="C1702" s="3">
        <v>0.39583333333333331</v>
      </c>
      <c r="D1702" s="5">
        <v>45208</v>
      </c>
      <c r="E1702" s="3">
        <v>0.4375</v>
      </c>
      <c r="F1702" t="b">
        <v>0</v>
      </c>
      <c r="G1702" s="3" t="s">
        <v>235</v>
      </c>
      <c r="H1702" s="3" t="s">
        <v>236</v>
      </c>
      <c r="I1702" t="b">
        <v>0</v>
      </c>
    </row>
    <row r="1703" spans="1:9" ht="15" hidden="1" customHeight="1" x14ac:dyDescent="0.2">
      <c r="A1703" s="3" t="s">
        <v>234</v>
      </c>
      <c r="B1703" s="5">
        <v>45210</v>
      </c>
      <c r="C1703" s="3">
        <v>0.4375</v>
      </c>
      <c r="D1703" s="5">
        <v>45210</v>
      </c>
      <c r="E1703" s="3">
        <v>0.47916666666666669</v>
      </c>
      <c r="F1703" t="b">
        <v>0</v>
      </c>
      <c r="G1703" s="3" t="s">
        <v>235</v>
      </c>
      <c r="H1703" s="3" t="s">
        <v>236</v>
      </c>
      <c r="I1703" t="b">
        <v>0</v>
      </c>
    </row>
    <row r="1704" spans="1:9" ht="15" hidden="1" customHeight="1" x14ac:dyDescent="0.2">
      <c r="A1704" s="3" t="s">
        <v>234</v>
      </c>
      <c r="B1704" s="5">
        <v>45212</v>
      </c>
      <c r="C1704" s="3">
        <v>0.47916666666666669</v>
      </c>
      <c r="D1704" s="5">
        <v>45212</v>
      </c>
      <c r="E1704" s="3">
        <v>0.52083333333333337</v>
      </c>
      <c r="F1704" t="b">
        <v>0</v>
      </c>
      <c r="G1704" s="3" t="s">
        <v>235</v>
      </c>
      <c r="H1704" s="3" t="s">
        <v>236</v>
      </c>
      <c r="I1704" t="b">
        <v>0</v>
      </c>
    </row>
    <row r="1705" spans="1:9" ht="15" hidden="1" customHeight="1" x14ac:dyDescent="0.2">
      <c r="A1705" s="3" t="s">
        <v>234</v>
      </c>
      <c r="B1705" s="5">
        <v>45215</v>
      </c>
      <c r="C1705" s="3">
        <v>0.39583333333333331</v>
      </c>
      <c r="D1705" s="5">
        <v>45215</v>
      </c>
      <c r="E1705" s="3">
        <v>0.4375</v>
      </c>
      <c r="F1705" t="b">
        <v>0</v>
      </c>
      <c r="G1705" s="3" t="s">
        <v>235</v>
      </c>
      <c r="H1705" s="3" t="s">
        <v>236</v>
      </c>
      <c r="I1705" t="b">
        <v>0</v>
      </c>
    </row>
    <row r="1706" spans="1:9" ht="15" hidden="1" customHeight="1" x14ac:dyDescent="0.2">
      <c r="A1706" s="3" t="s">
        <v>234</v>
      </c>
      <c r="B1706" s="5">
        <v>45217</v>
      </c>
      <c r="C1706" s="3">
        <v>0.4375</v>
      </c>
      <c r="D1706" s="5">
        <v>45217</v>
      </c>
      <c r="E1706" s="3">
        <v>0.47916666666666669</v>
      </c>
      <c r="F1706" t="b">
        <v>0</v>
      </c>
      <c r="G1706" s="3" t="s">
        <v>235</v>
      </c>
      <c r="H1706" s="3" t="s">
        <v>236</v>
      </c>
      <c r="I1706" t="b">
        <v>0</v>
      </c>
    </row>
    <row r="1707" spans="1:9" ht="15" hidden="1" customHeight="1" x14ac:dyDescent="0.2">
      <c r="A1707" s="3" t="s">
        <v>234</v>
      </c>
      <c r="B1707" s="5">
        <v>45219</v>
      </c>
      <c r="C1707" s="3">
        <v>0.47916666666666669</v>
      </c>
      <c r="D1707" s="5">
        <v>45219</v>
      </c>
      <c r="E1707" s="3">
        <v>0.52083333333333337</v>
      </c>
      <c r="F1707" t="b">
        <v>0</v>
      </c>
      <c r="G1707" s="3" t="s">
        <v>235</v>
      </c>
      <c r="H1707" s="3" t="s">
        <v>236</v>
      </c>
      <c r="I1707" t="b">
        <v>0</v>
      </c>
    </row>
    <row r="1708" spans="1:9" ht="15" hidden="1" customHeight="1" x14ac:dyDescent="0.2">
      <c r="A1708" s="3" t="s">
        <v>234</v>
      </c>
      <c r="B1708" s="5">
        <v>45222</v>
      </c>
      <c r="C1708" s="3">
        <v>0.39583333333333331</v>
      </c>
      <c r="D1708" s="5">
        <v>45222</v>
      </c>
      <c r="E1708" s="3">
        <v>0.4375</v>
      </c>
      <c r="F1708" t="b">
        <v>0</v>
      </c>
      <c r="G1708" s="3" t="s">
        <v>235</v>
      </c>
      <c r="H1708" s="3" t="s">
        <v>236</v>
      </c>
      <c r="I1708" t="b">
        <v>0</v>
      </c>
    </row>
    <row r="1709" spans="1:9" ht="15" hidden="1" customHeight="1" x14ac:dyDescent="0.2">
      <c r="A1709" s="3" t="s">
        <v>234</v>
      </c>
      <c r="B1709" s="5">
        <v>45224</v>
      </c>
      <c r="C1709" s="3">
        <v>0.4375</v>
      </c>
      <c r="D1709" s="5">
        <v>45224</v>
      </c>
      <c r="E1709" s="3">
        <v>0.47916666666666669</v>
      </c>
      <c r="F1709" t="b">
        <v>0</v>
      </c>
      <c r="G1709" s="3" t="s">
        <v>235</v>
      </c>
      <c r="H1709" s="3" t="s">
        <v>236</v>
      </c>
      <c r="I1709" t="b">
        <v>0</v>
      </c>
    </row>
    <row r="1710" spans="1:9" ht="15" hidden="1" customHeight="1" x14ac:dyDescent="0.2">
      <c r="A1710" s="3" t="s">
        <v>234</v>
      </c>
      <c r="B1710" s="5">
        <v>45226</v>
      </c>
      <c r="C1710" s="3">
        <v>0.47916666666666669</v>
      </c>
      <c r="D1710" s="5">
        <v>45226</v>
      </c>
      <c r="E1710" s="3">
        <v>0.52083333333333337</v>
      </c>
      <c r="F1710" t="b">
        <v>0</v>
      </c>
      <c r="G1710" s="3" t="s">
        <v>235</v>
      </c>
      <c r="H1710" s="3" t="s">
        <v>236</v>
      </c>
      <c r="I1710" t="b">
        <v>0</v>
      </c>
    </row>
    <row r="1711" spans="1:9" ht="15" hidden="1" customHeight="1" x14ac:dyDescent="0.2">
      <c r="A1711" s="3" t="s">
        <v>234</v>
      </c>
      <c r="B1711" s="5">
        <v>45229</v>
      </c>
      <c r="C1711" s="3">
        <v>0.39583333333333331</v>
      </c>
      <c r="D1711" s="5">
        <v>45229</v>
      </c>
      <c r="E1711" s="3">
        <v>0.4375</v>
      </c>
      <c r="F1711" t="b">
        <v>0</v>
      </c>
      <c r="G1711" s="3" t="s">
        <v>235</v>
      </c>
      <c r="H1711" s="3" t="s">
        <v>236</v>
      </c>
      <c r="I1711" t="b">
        <v>0</v>
      </c>
    </row>
    <row r="1712" spans="1:9" ht="15" hidden="1" customHeight="1" x14ac:dyDescent="0.2">
      <c r="A1712" s="3" t="s">
        <v>234</v>
      </c>
      <c r="B1712" s="5">
        <v>45231</v>
      </c>
      <c r="C1712" s="3">
        <v>0.4375</v>
      </c>
      <c r="D1712" s="5">
        <v>45231</v>
      </c>
      <c r="E1712" s="3">
        <v>0.47916666666666669</v>
      </c>
      <c r="F1712" t="b">
        <v>0</v>
      </c>
      <c r="G1712" s="3" t="s">
        <v>235</v>
      </c>
      <c r="H1712" s="3" t="s">
        <v>236</v>
      </c>
      <c r="I1712" t="b">
        <v>0</v>
      </c>
    </row>
    <row r="1713" spans="1:9" ht="15" hidden="1" customHeight="1" x14ac:dyDescent="0.2">
      <c r="A1713" s="3" t="s">
        <v>234</v>
      </c>
      <c r="B1713" s="5">
        <v>45233</v>
      </c>
      <c r="C1713" s="3">
        <v>0.47916666666666669</v>
      </c>
      <c r="D1713" s="5">
        <v>45233</v>
      </c>
      <c r="E1713" s="3">
        <v>0.52083333333333337</v>
      </c>
      <c r="F1713" t="b">
        <v>0</v>
      </c>
      <c r="G1713" s="3" t="s">
        <v>235</v>
      </c>
      <c r="H1713" s="3" t="s">
        <v>236</v>
      </c>
      <c r="I1713" t="b">
        <v>0</v>
      </c>
    </row>
    <row r="1714" spans="1:9" ht="15" hidden="1" customHeight="1" x14ac:dyDescent="0.2">
      <c r="A1714" s="3" t="s">
        <v>234</v>
      </c>
      <c r="B1714" s="5">
        <v>45236</v>
      </c>
      <c r="C1714" s="3">
        <v>0.39583333333333331</v>
      </c>
      <c r="D1714" s="5">
        <v>45236</v>
      </c>
      <c r="E1714" s="3">
        <v>0.4375</v>
      </c>
      <c r="F1714" t="b">
        <v>0</v>
      </c>
      <c r="G1714" s="3" t="s">
        <v>235</v>
      </c>
      <c r="H1714" s="3" t="s">
        <v>236</v>
      </c>
      <c r="I1714" t="b">
        <v>0</v>
      </c>
    </row>
    <row r="1715" spans="1:9" ht="15" hidden="1" customHeight="1" x14ac:dyDescent="0.2">
      <c r="A1715" s="3" t="s">
        <v>234</v>
      </c>
      <c r="B1715" s="5">
        <v>45238</v>
      </c>
      <c r="C1715" s="3">
        <v>0.4375</v>
      </c>
      <c r="D1715" s="5">
        <v>45238</v>
      </c>
      <c r="E1715" s="3">
        <v>0.47916666666666669</v>
      </c>
      <c r="F1715" t="b">
        <v>0</v>
      </c>
      <c r="G1715" s="3" t="s">
        <v>235</v>
      </c>
      <c r="H1715" s="3" t="s">
        <v>236</v>
      </c>
      <c r="I1715" t="b">
        <v>0</v>
      </c>
    </row>
    <row r="1716" spans="1:9" ht="15" hidden="1" customHeight="1" x14ac:dyDescent="0.2">
      <c r="A1716" s="3" t="s">
        <v>234</v>
      </c>
      <c r="B1716" s="5">
        <v>45240</v>
      </c>
      <c r="C1716" s="3">
        <v>0.47916666666666669</v>
      </c>
      <c r="D1716" s="5">
        <v>45240</v>
      </c>
      <c r="E1716" s="3">
        <v>0.52083333333333337</v>
      </c>
      <c r="F1716" t="b">
        <v>0</v>
      </c>
      <c r="G1716" s="3" t="s">
        <v>235</v>
      </c>
      <c r="H1716" s="3" t="s">
        <v>236</v>
      </c>
      <c r="I1716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1B27-DEC8-F74B-9CA6-9793B90E30A3}">
  <dimension ref="A1:J294"/>
  <sheetViews>
    <sheetView tabSelected="1" workbookViewId="0">
      <selection activeCell="B1" sqref="B1"/>
    </sheetView>
  </sheetViews>
  <sheetFormatPr baseColWidth="10" defaultRowHeight="23" customHeight="1" x14ac:dyDescent="0.2"/>
  <cols>
    <col min="1" max="1" width="7.5" bestFit="1" customWidth="1"/>
    <col min="2" max="2" width="11.1640625" bestFit="1" customWidth="1"/>
    <col min="3" max="3" width="9.33203125" bestFit="1" customWidth="1"/>
    <col min="4" max="4" width="65" bestFit="1" customWidth="1"/>
    <col min="5" max="5" width="20.6640625" bestFit="1" customWidth="1"/>
    <col min="6" max="6" width="13.6640625" bestFit="1" customWidth="1"/>
    <col min="7" max="7" width="12.6640625" bestFit="1" customWidth="1"/>
    <col min="8" max="8" width="28" bestFit="1" customWidth="1"/>
  </cols>
  <sheetData>
    <row r="1" spans="1:10" ht="23" customHeight="1" x14ac:dyDescent="0.25">
      <c r="A1" s="12" t="s">
        <v>309</v>
      </c>
      <c r="B1" s="12" t="s">
        <v>341</v>
      </c>
      <c r="C1" s="12" t="s">
        <v>335</v>
      </c>
      <c r="D1" s="12" t="s">
        <v>340</v>
      </c>
      <c r="E1" s="12" t="s">
        <v>336</v>
      </c>
      <c r="F1" s="12" t="s">
        <v>110</v>
      </c>
      <c r="G1" s="12" t="s">
        <v>112</v>
      </c>
      <c r="H1" s="12" t="s">
        <v>337</v>
      </c>
    </row>
    <row r="2" spans="1:10" ht="23" hidden="1" customHeight="1" x14ac:dyDescent="0.25">
      <c r="A2" s="18" t="s">
        <v>310</v>
      </c>
      <c r="B2" s="18" t="s">
        <v>116</v>
      </c>
      <c r="C2" s="18">
        <f>IF(AND(Table4[[#This Row],[Start Time]]=TIME(8, 30, 0), Table4[[#This Row],[End Time]]=TIME(9, 30, 0)), 0, 1)</f>
        <v>0</v>
      </c>
      <c r="D2" s="13" t="s">
        <v>117</v>
      </c>
      <c r="E2" s="18" t="s">
        <v>311</v>
      </c>
      <c r="F2" s="19">
        <v>0.35416666666666669</v>
      </c>
      <c r="G2" s="19">
        <v>0.39583333333333331</v>
      </c>
      <c r="H2" s="18">
        <f>COUNTIF([1]!Table1[Course
Code],Table4[[#This Row],[Code]])</f>
        <v>1</v>
      </c>
    </row>
    <row r="3" spans="1:10" ht="23" hidden="1" customHeight="1" x14ac:dyDescent="0.25">
      <c r="A3" s="18" t="s">
        <v>310</v>
      </c>
      <c r="B3" s="18" t="s">
        <v>153</v>
      </c>
      <c r="C3" s="18">
        <f>IF(AND(Table4[[#This Row],[Start Time]]=TIME(8, 30, 0), Table4[[#This Row],[End Time]]=TIME(9, 30, 0)), 0, 1)</f>
        <v>0</v>
      </c>
      <c r="D3" s="13" t="s">
        <v>154</v>
      </c>
      <c r="E3" s="18" t="s">
        <v>312</v>
      </c>
      <c r="F3" s="19">
        <v>0.35416666666666669</v>
      </c>
      <c r="G3" s="19">
        <v>0.39583333333333331</v>
      </c>
      <c r="H3" s="18">
        <f>COUNTIF([1]!Table1[Course
Code],Table4[[#This Row],[Code]])</f>
        <v>1</v>
      </c>
    </row>
    <row r="4" spans="1:10" ht="23" customHeight="1" x14ac:dyDescent="0.25">
      <c r="A4" s="18" t="s">
        <v>310</v>
      </c>
      <c r="B4" s="18" t="s">
        <v>160</v>
      </c>
      <c r="C4" s="18">
        <f>IF(AND(Table4[[#This Row],[Start Time]]=TIME(8, 30, 0), Table4[[#This Row],[End Time]]=TIME(9, 30, 0)), 0, 1)</f>
        <v>0</v>
      </c>
      <c r="D4" s="13" t="s">
        <v>161</v>
      </c>
      <c r="E4" s="18" t="s">
        <v>323</v>
      </c>
      <c r="F4" s="19">
        <v>0.35416666666666669</v>
      </c>
      <c r="G4" s="19">
        <v>0.39583333333333331</v>
      </c>
      <c r="H4" s="18">
        <f>COUNTIF([1]!Table1[Course
Code],Table4[[#This Row],[Code]])</f>
        <v>1</v>
      </c>
    </row>
    <row r="5" spans="1:10" ht="23" hidden="1" customHeight="1" x14ac:dyDescent="0.25">
      <c r="A5" s="18" t="s">
        <v>310</v>
      </c>
      <c r="B5" s="18" t="s">
        <v>168</v>
      </c>
      <c r="C5" s="18">
        <f>IF(AND(Table4[[#This Row],[Start Time]]=TIME(8, 30, 0), Table4[[#This Row],[End Time]]=TIME(9, 30, 0)), 0, 1)</f>
        <v>0</v>
      </c>
      <c r="D5" s="13" t="s">
        <v>169</v>
      </c>
      <c r="E5" s="18" t="s">
        <v>313</v>
      </c>
      <c r="F5" s="19">
        <v>0.35416666666666669</v>
      </c>
      <c r="G5" s="19">
        <v>0.39583333333333331</v>
      </c>
      <c r="H5" s="18">
        <f>COUNTIF([1]!Table1[Course
Code],Table4[[#This Row],[Code]])</f>
        <v>1</v>
      </c>
    </row>
    <row r="6" spans="1:10" ht="23" hidden="1" customHeight="1" x14ac:dyDescent="0.25">
      <c r="A6" s="18" t="s">
        <v>310</v>
      </c>
      <c r="B6" s="18" t="s">
        <v>231</v>
      </c>
      <c r="C6" s="18">
        <f>IF(AND(Table4[[#This Row],[Start Time]]=TIME(8, 30, 0), Table4[[#This Row],[End Time]]=TIME(9, 30, 0)), 0, 1)</f>
        <v>0</v>
      </c>
      <c r="D6" s="22" t="s">
        <v>232</v>
      </c>
      <c r="E6" s="18" t="s">
        <v>324</v>
      </c>
      <c r="F6" s="19">
        <v>0.35416666666666669</v>
      </c>
      <c r="G6" s="19">
        <v>0.39583333333333337</v>
      </c>
      <c r="H6" s="18">
        <f>COUNTIF([1]!Table1[Course
Code],Table4[[#This Row],[Code]])</f>
        <v>1</v>
      </c>
    </row>
    <row r="7" spans="1:10" ht="23" hidden="1" customHeight="1" x14ac:dyDescent="0.25">
      <c r="A7" s="18" t="s">
        <v>310</v>
      </c>
      <c r="B7" s="18" t="s">
        <v>220</v>
      </c>
      <c r="C7" s="18">
        <f>IF(AND(Table4[[#This Row],[Start Time]]=TIME(8, 30, 0), Table4[[#This Row],[End Time]]=TIME(9, 30, 0)), 0, 1)</f>
        <v>0</v>
      </c>
      <c r="D7" s="13" t="s">
        <v>221</v>
      </c>
      <c r="E7" s="18" t="s">
        <v>322</v>
      </c>
      <c r="F7" s="19">
        <v>0.35416666666666669</v>
      </c>
      <c r="G7" s="19">
        <v>0.39583333333333337</v>
      </c>
      <c r="H7" s="18">
        <f>COUNTIF([1]!Table1[Course
Code],Table4[[#This Row],[Code]])</f>
        <v>1</v>
      </c>
    </row>
    <row r="8" spans="1:10" ht="23" hidden="1" customHeight="1" x14ac:dyDescent="0.25">
      <c r="A8" s="18" t="s">
        <v>310</v>
      </c>
      <c r="B8" s="18" t="s">
        <v>131</v>
      </c>
      <c r="C8" s="18">
        <f>IF(AND(Table4[[#This Row],[Start Time]]=TIME(8, 30, 0), Table4[[#This Row],[End Time]]=TIME(9, 30, 0)), 0, 1)</f>
        <v>0</v>
      </c>
      <c r="D8" s="13" t="s">
        <v>57</v>
      </c>
      <c r="E8" s="18" t="s">
        <v>320</v>
      </c>
      <c r="F8" s="19">
        <v>0.35416666666666669</v>
      </c>
      <c r="G8" s="19">
        <v>0.39583333333333337</v>
      </c>
      <c r="H8" s="18">
        <f>COUNTIF([1]!Table1[Course
Code],Table4[[#This Row],[Code]])</f>
        <v>1</v>
      </c>
    </row>
    <row r="9" spans="1:10" ht="23" hidden="1" customHeight="1" x14ac:dyDescent="0.25">
      <c r="A9" s="18" t="s">
        <v>310</v>
      </c>
      <c r="B9" s="18" t="s">
        <v>338</v>
      </c>
      <c r="C9" s="18">
        <f>IF(AND(Table4[[#This Row],[Start Time]]=TIME(8, 30, 0), Table4[[#This Row],[End Time]]=TIME(9, 30, 0)), 0, 1)</f>
        <v>0</v>
      </c>
      <c r="D9" s="13" t="s">
        <v>203</v>
      </c>
      <c r="E9" s="18" t="s">
        <v>325</v>
      </c>
      <c r="F9" s="19">
        <v>0.35416666666666669</v>
      </c>
      <c r="G9" s="19">
        <v>0.39583333333333337</v>
      </c>
      <c r="H9" s="18">
        <f>COUNTIF([1]!Table1[Course
Code],Table4[[#This Row],[Code]])</f>
        <v>1</v>
      </c>
      <c r="J9" s="17" t="s">
        <v>202</v>
      </c>
    </row>
    <row r="10" spans="1:10" ht="23" customHeight="1" x14ac:dyDescent="0.25">
      <c r="A10" s="18" t="s">
        <v>310</v>
      </c>
      <c r="B10" s="18" t="s">
        <v>214</v>
      </c>
      <c r="C10" s="18">
        <v>0</v>
      </c>
      <c r="D10" s="13" t="s">
        <v>215</v>
      </c>
      <c r="E10" s="18" t="s">
        <v>333</v>
      </c>
      <c r="F10" s="19">
        <v>0.35416666666666669</v>
      </c>
      <c r="G10" s="19">
        <v>0.47916666666666669</v>
      </c>
      <c r="H10" s="18">
        <f>COUNTIF([1]!Table1[Course
Code],Table4[[#This Row],[Code]])</f>
        <v>1</v>
      </c>
    </row>
    <row r="11" spans="1:10" ht="23" customHeight="1" x14ac:dyDescent="0.25">
      <c r="A11" s="18" t="s">
        <v>310</v>
      </c>
      <c r="B11" s="18" t="s">
        <v>214</v>
      </c>
      <c r="C11" s="18">
        <v>1</v>
      </c>
      <c r="D11" s="13" t="s">
        <v>215</v>
      </c>
      <c r="E11" s="18" t="s">
        <v>333</v>
      </c>
      <c r="F11" s="19">
        <v>0.35416666666666669</v>
      </c>
      <c r="G11" s="19">
        <v>0.47916666666666669</v>
      </c>
      <c r="H11" s="18">
        <f>COUNTIF([1]!Table1[Course
Code],Table4[[#This Row],[Code]])</f>
        <v>1</v>
      </c>
    </row>
    <row r="12" spans="1:10" ht="23" customHeight="1" x14ac:dyDescent="0.25">
      <c r="A12" s="18" t="s">
        <v>310</v>
      </c>
      <c r="B12" s="18" t="s">
        <v>214</v>
      </c>
      <c r="C12" s="18">
        <v>2</v>
      </c>
      <c r="D12" s="13" t="s">
        <v>215</v>
      </c>
      <c r="E12" s="18" t="s">
        <v>333</v>
      </c>
      <c r="F12" s="19">
        <v>0.35416666666666669</v>
      </c>
      <c r="G12" s="19">
        <v>0.47916666666666669</v>
      </c>
      <c r="H12" s="18">
        <f>COUNTIF([1]!Table1[Course
Code],Table4[[#This Row],[Code]])</f>
        <v>1</v>
      </c>
    </row>
    <row r="13" spans="1:10" ht="23" hidden="1" customHeight="1" x14ac:dyDescent="0.25">
      <c r="A13" s="18" t="s">
        <v>310</v>
      </c>
      <c r="B13" s="18" t="s">
        <v>133</v>
      </c>
      <c r="C13" s="18">
        <f>IF(AND(Table4[[#This Row],[Start Time]]=TIME(9, 30, 0), Table4[[#This Row],[End Time]]=TIME(10, 30, 0)), 1, 2)</f>
        <v>1</v>
      </c>
      <c r="D13" s="13" t="s">
        <v>135</v>
      </c>
      <c r="E13" s="18" t="s">
        <v>321</v>
      </c>
      <c r="F13" s="19">
        <v>0.39583333333333331</v>
      </c>
      <c r="G13" s="19">
        <v>0.4375</v>
      </c>
      <c r="H13" s="18">
        <f>COUNTIF([1]!Table1[Course
Code],Table4[[#This Row],[Code]])</f>
        <v>1</v>
      </c>
    </row>
    <row r="14" spans="1:10" ht="23" hidden="1" customHeight="1" x14ac:dyDescent="0.25">
      <c r="A14" s="18" t="s">
        <v>310</v>
      </c>
      <c r="B14" s="18" t="s">
        <v>156</v>
      </c>
      <c r="C14" s="18">
        <f>IF(AND(Table4[[#This Row],[Start Time]]=TIME(9, 30, 0), Table4[[#This Row],[End Time]]=TIME(10, 30, 0)), 1, 2)</f>
        <v>1</v>
      </c>
      <c r="D14" s="13" t="s">
        <v>157</v>
      </c>
      <c r="E14" s="18" t="s">
        <v>312</v>
      </c>
      <c r="F14" s="19">
        <v>0.39583333333333331</v>
      </c>
      <c r="G14" s="19">
        <v>0.4375</v>
      </c>
      <c r="H14" s="18">
        <f>COUNTIF([1]!Table1[Course
Code],Table4[[#This Row],[Code]])</f>
        <v>1</v>
      </c>
    </row>
    <row r="15" spans="1:10" ht="23" hidden="1" customHeight="1" x14ac:dyDescent="0.25">
      <c r="A15" s="18" t="s">
        <v>310</v>
      </c>
      <c r="B15" s="18" t="s">
        <v>237</v>
      </c>
      <c r="C15" s="18">
        <f>IF(AND(Table4[[#This Row],[Start Time]]=TIME(9, 30, 0), Table4[[#This Row],[End Time]]=TIME(10, 30, 0)), 1, 2)</f>
        <v>1</v>
      </c>
      <c r="D15" s="22" t="s">
        <v>238</v>
      </c>
      <c r="E15" s="18" t="s">
        <v>326</v>
      </c>
      <c r="F15" s="19">
        <v>0.39583333333333331</v>
      </c>
      <c r="G15" s="19">
        <v>0.4375</v>
      </c>
      <c r="H15" s="18">
        <f>COUNTIF([1]!Table1[Course
Code],Table4[[#This Row],[Code]])</f>
        <v>1</v>
      </c>
    </row>
    <row r="16" spans="1:10" ht="23" hidden="1" customHeight="1" x14ac:dyDescent="0.25">
      <c r="A16" s="18" t="s">
        <v>310</v>
      </c>
      <c r="B16" s="18" t="s">
        <v>170</v>
      </c>
      <c r="C16" s="18">
        <f>IF(AND(Table4[[#This Row],[Start Time]]=TIME(9, 30, 0), Table4[[#This Row],[End Time]]=TIME(10, 30, 0)), 1, 2)</f>
        <v>1</v>
      </c>
      <c r="D16" s="13" t="s">
        <v>171</v>
      </c>
      <c r="E16" s="18" t="s">
        <v>313</v>
      </c>
      <c r="F16" s="19">
        <v>0.39583333333333331</v>
      </c>
      <c r="G16" s="19">
        <v>0.4375</v>
      </c>
      <c r="H16" s="18">
        <f>COUNTIF([1]!Table1[Course
Code],Table4[[#This Row],[Code]])</f>
        <v>1</v>
      </c>
    </row>
    <row r="17" spans="1:8" ht="23" hidden="1" customHeight="1" x14ac:dyDescent="0.25">
      <c r="A17" s="18" t="s">
        <v>310</v>
      </c>
      <c r="B17" s="18" t="s">
        <v>178</v>
      </c>
      <c r="C17" s="18">
        <v>1</v>
      </c>
      <c r="D17" s="13" t="s">
        <v>179</v>
      </c>
      <c r="E17" s="18" t="s">
        <v>333</v>
      </c>
      <c r="F17" s="19">
        <v>0.39583333333333331</v>
      </c>
      <c r="G17" s="19">
        <v>0.52083333333333337</v>
      </c>
      <c r="H17" s="18">
        <f>COUNTIF([1]!Table1[Course
Code],Table4[[#This Row],[Code]])</f>
        <v>1</v>
      </c>
    </row>
    <row r="18" spans="1:8" ht="23" hidden="1" customHeight="1" x14ac:dyDescent="0.25">
      <c r="A18" s="18" t="s">
        <v>310</v>
      </c>
      <c r="B18" s="18" t="s">
        <v>178</v>
      </c>
      <c r="C18" s="18">
        <v>2</v>
      </c>
      <c r="D18" s="13" t="s">
        <v>179</v>
      </c>
      <c r="E18" s="18" t="s">
        <v>333</v>
      </c>
      <c r="F18" s="19">
        <v>0.39583333333333331</v>
      </c>
      <c r="G18" s="19">
        <v>0.52083333333333337</v>
      </c>
      <c r="H18" s="18">
        <f>COUNTIF([1]!Table1[Course
Code],Table4[[#This Row],[Code]])</f>
        <v>1</v>
      </c>
    </row>
    <row r="19" spans="1:8" ht="23" hidden="1" customHeight="1" x14ac:dyDescent="0.25">
      <c r="A19" s="18" t="s">
        <v>310</v>
      </c>
      <c r="B19" s="18" t="s">
        <v>178</v>
      </c>
      <c r="C19" s="18">
        <v>3</v>
      </c>
      <c r="D19" s="13" t="s">
        <v>179</v>
      </c>
      <c r="E19" s="18" t="s">
        <v>333</v>
      </c>
      <c r="F19" s="19">
        <v>0.39583333333333331</v>
      </c>
      <c r="G19" s="19">
        <v>0.52083333333333337</v>
      </c>
      <c r="H19" s="18">
        <f>COUNTIF([1]!Table1[Course
Code],Table4[[#This Row],[Code]])</f>
        <v>1</v>
      </c>
    </row>
    <row r="20" spans="1:8" ht="23" hidden="1" customHeight="1" x14ac:dyDescent="0.25">
      <c r="A20" s="18" t="s">
        <v>310</v>
      </c>
      <c r="B20" s="18" t="s">
        <v>144</v>
      </c>
      <c r="C20" s="18">
        <f>IF(AND(Table4[[#This Row],[Start Time]]=TIME(9, 30, 0), Table4[[#This Row],[End Time]]=TIME(10, 30, 0)), 1, 2)</f>
        <v>1</v>
      </c>
      <c r="D20" s="13" t="s">
        <v>145</v>
      </c>
      <c r="E20" s="18" t="s">
        <v>315</v>
      </c>
      <c r="F20" s="19">
        <v>0.39583333333333331</v>
      </c>
      <c r="G20" s="19">
        <v>0.4375</v>
      </c>
      <c r="H20" s="18">
        <f>COUNTIF([1]!Table1[Course
Code],Table4[[#This Row],[Code]])</f>
        <v>1</v>
      </c>
    </row>
    <row r="21" spans="1:8" ht="23" hidden="1" customHeight="1" x14ac:dyDescent="0.25">
      <c r="A21" s="18" t="s">
        <v>310</v>
      </c>
      <c r="B21" s="18" t="s">
        <v>218</v>
      </c>
      <c r="C21" s="18">
        <f>IF(AND(Table4[[#This Row],[Start Time]]=TIME(9, 30, 0), Table4[[#This Row],[End Time]]=TIME(10, 30, 0)), 1, 2)</f>
        <v>1</v>
      </c>
      <c r="D21" s="13" t="s">
        <v>219</v>
      </c>
      <c r="E21" s="18" t="s">
        <v>322</v>
      </c>
      <c r="F21" s="19">
        <v>0.39583333333333331</v>
      </c>
      <c r="G21" s="19">
        <v>0.4375</v>
      </c>
      <c r="H21" s="18">
        <f>COUNTIF([1]!Table1[Course
Code],Table4[[#This Row],[Code]])</f>
        <v>1</v>
      </c>
    </row>
    <row r="22" spans="1:8" ht="23" hidden="1" customHeight="1" x14ac:dyDescent="0.25">
      <c r="A22" s="18" t="s">
        <v>310</v>
      </c>
      <c r="B22" s="18" t="s">
        <v>234</v>
      </c>
      <c r="C22" s="18">
        <f>IF(AND(Table4[[#This Row],[Start Time]]=TIME(9, 30, 0), Table4[[#This Row],[End Time]]=TIME(10, 30, 0)), 1, 2)</f>
        <v>1</v>
      </c>
      <c r="D22" s="22" t="s">
        <v>235</v>
      </c>
      <c r="E22" s="18" t="s">
        <v>327</v>
      </c>
      <c r="F22" s="19">
        <v>0.39583333333333331</v>
      </c>
      <c r="G22" s="19">
        <v>0.4375</v>
      </c>
      <c r="H22" s="18">
        <f>COUNTIF([1]!Table1[Course
Code],Table4[[#This Row],[Code]])</f>
        <v>1</v>
      </c>
    </row>
    <row r="23" spans="1:8" ht="23" hidden="1" customHeight="1" x14ac:dyDescent="0.25">
      <c r="A23" s="18" t="s">
        <v>310</v>
      </c>
      <c r="B23" s="18" t="s">
        <v>164</v>
      </c>
      <c r="C23" s="18">
        <v>1</v>
      </c>
      <c r="D23" s="13" t="s">
        <v>165</v>
      </c>
      <c r="E23" s="18" t="s">
        <v>333</v>
      </c>
      <c r="F23" s="19">
        <v>0.41666666666666669</v>
      </c>
      <c r="G23" s="19">
        <v>0.54166666666666663</v>
      </c>
      <c r="H23" s="18">
        <f>COUNTIF([1]!Table1[Course
Code],Table4[[#This Row],[Code]])</f>
        <v>1</v>
      </c>
    </row>
    <row r="24" spans="1:8" ht="23" hidden="1" customHeight="1" x14ac:dyDescent="0.25">
      <c r="A24" s="18" t="s">
        <v>310</v>
      </c>
      <c r="B24" s="18" t="s">
        <v>164</v>
      </c>
      <c r="C24" s="18">
        <v>2</v>
      </c>
      <c r="D24" s="13" t="s">
        <v>165</v>
      </c>
      <c r="E24" s="18" t="s">
        <v>333</v>
      </c>
      <c r="F24" s="19">
        <v>0.41666666666666669</v>
      </c>
      <c r="G24" s="19">
        <v>0.54166666666666663</v>
      </c>
      <c r="H24" s="18">
        <f>COUNTIF([1]!Table1[Course
Code],Table4[[#This Row],[Code]])</f>
        <v>1</v>
      </c>
    </row>
    <row r="25" spans="1:8" ht="23" hidden="1" customHeight="1" x14ac:dyDescent="0.25">
      <c r="A25" s="18" t="s">
        <v>310</v>
      </c>
      <c r="B25" s="18" t="s">
        <v>164</v>
      </c>
      <c r="C25" s="18">
        <v>3</v>
      </c>
      <c r="D25" s="13" t="s">
        <v>165</v>
      </c>
      <c r="E25" s="18" t="s">
        <v>333</v>
      </c>
      <c r="F25" s="19">
        <v>0.41666666666666669</v>
      </c>
      <c r="G25" s="19">
        <v>0.54166666666666663</v>
      </c>
      <c r="H25" s="18">
        <f>COUNTIF([1]!Table1[Course
Code],Table4[[#This Row],[Code]])</f>
        <v>1</v>
      </c>
    </row>
    <row r="26" spans="1:8" ht="23" hidden="1" customHeight="1" x14ac:dyDescent="0.25">
      <c r="A26" s="18" t="s">
        <v>310</v>
      </c>
      <c r="B26" s="18" t="s">
        <v>225</v>
      </c>
      <c r="C26" s="18">
        <f>IF(AND(Table4[[#This Row],[Start Time]]=TIME(10, 30, 0), Table4[[#This Row],[End Time]]=TIME(11, 30, 0)), 2, 3)</f>
        <v>2</v>
      </c>
      <c r="D26" s="13" t="s">
        <v>226</v>
      </c>
      <c r="E26" s="18" t="s">
        <v>322</v>
      </c>
      <c r="F26" s="19">
        <v>0.4375</v>
      </c>
      <c r="G26" s="19">
        <v>0.47916666666666669</v>
      </c>
      <c r="H26" s="18">
        <f>COUNTIF([1]!Table1[Course
Code],Table4[[#This Row],[Code]])</f>
        <v>1</v>
      </c>
    </row>
    <row r="27" spans="1:8" ht="23" hidden="1" customHeight="1" x14ac:dyDescent="0.25">
      <c r="A27" s="18" t="s">
        <v>310</v>
      </c>
      <c r="B27" s="18" t="s">
        <v>225</v>
      </c>
      <c r="C27" s="18">
        <f>IF(AND(Table4[[#This Row],[Start Time]]=TIME(10, 30, 0), Table4[[#This Row],[End Time]]=TIME(11, 30, 0)), 2, 3)</f>
        <v>2</v>
      </c>
      <c r="D27" s="13" t="s">
        <v>226</v>
      </c>
      <c r="E27" s="18" t="s">
        <v>314</v>
      </c>
      <c r="F27" s="19">
        <v>0.4375</v>
      </c>
      <c r="G27" s="19">
        <v>0.47916666666666669</v>
      </c>
      <c r="H27" s="18">
        <f>COUNTIF([1]!Table1[Course
Code],Table4[[#This Row],[Code]])</f>
        <v>1</v>
      </c>
    </row>
    <row r="28" spans="1:8" ht="23" hidden="1" customHeight="1" x14ac:dyDescent="0.25">
      <c r="A28" s="18" t="s">
        <v>310</v>
      </c>
      <c r="B28" s="18" t="s">
        <v>136</v>
      </c>
      <c r="C28" s="18">
        <f>IF(AND(Table4[[#This Row],[Start Time]]=TIME(10, 30, 0), Table4[[#This Row],[End Time]]=TIME(11, 30, 0)), 2, 3)</f>
        <v>2</v>
      </c>
      <c r="D28" s="13" t="s">
        <v>137</v>
      </c>
      <c r="E28" s="18" t="s">
        <v>311</v>
      </c>
      <c r="F28" s="19">
        <v>0.4375</v>
      </c>
      <c r="G28" s="19">
        <v>0.47916666666666669</v>
      </c>
      <c r="H28" s="18">
        <f>COUNTIF([1]!Table1[Course
Code],Table4[[#This Row],[Code]])</f>
        <v>1</v>
      </c>
    </row>
    <row r="29" spans="1:8" ht="23" hidden="1" customHeight="1" x14ac:dyDescent="0.25">
      <c r="A29" s="18" t="s">
        <v>310</v>
      </c>
      <c r="B29" s="18" t="s">
        <v>194</v>
      </c>
      <c r="C29" s="18">
        <v>2</v>
      </c>
      <c r="D29" s="13" t="s">
        <v>195</v>
      </c>
      <c r="E29" s="18" t="s">
        <v>312</v>
      </c>
      <c r="F29" s="19">
        <v>0.4375</v>
      </c>
      <c r="G29" s="19">
        <v>0.5</v>
      </c>
      <c r="H29" s="18">
        <f>COUNTIF([1]!Table1[Course
Code],Table4[[#This Row],[Code]])</f>
        <v>1</v>
      </c>
    </row>
    <row r="30" spans="1:8" ht="23" hidden="1" customHeight="1" x14ac:dyDescent="0.25">
      <c r="A30" s="18" t="s">
        <v>310</v>
      </c>
      <c r="B30" s="18" t="s">
        <v>194</v>
      </c>
      <c r="C30" s="18">
        <v>3</v>
      </c>
      <c r="D30" s="13" t="s">
        <v>195</v>
      </c>
      <c r="E30" s="18" t="s">
        <v>312</v>
      </c>
      <c r="F30" s="19">
        <v>0.4375</v>
      </c>
      <c r="G30" s="19">
        <v>0.5</v>
      </c>
      <c r="H30" s="18">
        <f>COUNTIF([1]!Table1[Course
Code],Table4[[#This Row],[Code]])</f>
        <v>1</v>
      </c>
    </row>
    <row r="31" spans="1:8" ht="23" hidden="1" customHeight="1" x14ac:dyDescent="0.25">
      <c r="A31" s="18" t="s">
        <v>310</v>
      </c>
      <c r="B31" s="18" t="s">
        <v>172</v>
      </c>
      <c r="C31" s="18">
        <f>IF(AND(Table4[[#This Row],[Start Time]]=TIME(10, 30, 0), Table4[[#This Row],[End Time]]=TIME(11, 30, 0)), 2, 3)</f>
        <v>2</v>
      </c>
      <c r="D31" s="13" t="s">
        <v>173</v>
      </c>
      <c r="E31" s="18" t="s">
        <v>313</v>
      </c>
      <c r="F31" s="19">
        <v>0.4375</v>
      </c>
      <c r="G31" s="19">
        <v>0.47916666666666669</v>
      </c>
      <c r="H31" s="18">
        <f>COUNTIF([1]!Table1[Course
Code],Table4[[#This Row],[Code]])</f>
        <v>1</v>
      </c>
    </row>
    <row r="32" spans="1:8" ht="23" hidden="1" customHeight="1" x14ac:dyDescent="0.25">
      <c r="A32" s="18" t="s">
        <v>310</v>
      </c>
      <c r="B32" s="18" t="s">
        <v>196</v>
      </c>
      <c r="C32" s="18">
        <f>IF(AND(Table4[[#This Row],[Start Time]]=TIME(10, 30, 0), Table4[[#This Row],[End Time]]=TIME(11, 30, 0)), 2, 3)</f>
        <v>2</v>
      </c>
      <c r="D32" s="13" t="s">
        <v>197</v>
      </c>
      <c r="E32" s="18" t="s">
        <v>320</v>
      </c>
      <c r="F32" s="19">
        <v>0.4375</v>
      </c>
      <c r="G32" s="19">
        <v>0.47916666666666669</v>
      </c>
      <c r="H32" s="18">
        <f>COUNTIF([1]!Table1[Course
Code],Table4[[#This Row],[Code]])</f>
        <v>1</v>
      </c>
    </row>
    <row r="33" spans="1:8" ht="23" hidden="1" customHeight="1" x14ac:dyDescent="0.25">
      <c r="A33" s="18" t="s">
        <v>310</v>
      </c>
      <c r="B33" s="18" t="s">
        <v>204</v>
      </c>
      <c r="C33" s="18">
        <f>IF(AND(Table4[[#This Row],[Start Time]]=TIME(10, 30, 0), Table4[[#This Row],[End Time]]=TIME(11, 30, 0)), 2, 3)</f>
        <v>2</v>
      </c>
      <c r="D33" s="13" t="s">
        <v>205</v>
      </c>
      <c r="E33" s="18" t="s">
        <v>325</v>
      </c>
      <c r="F33" s="19">
        <v>0.4375</v>
      </c>
      <c r="G33" s="19">
        <v>0.47916666666666669</v>
      </c>
      <c r="H33" s="18">
        <f>COUNTIF([1]!Table1[Course
Code],Table4[[#This Row],[Code]])</f>
        <v>1</v>
      </c>
    </row>
    <row r="34" spans="1:8" ht="23" hidden="1" customHeight="1" x14ac:dyDescent="0.25">
      <c r="A34" s="18" t="s">
        <v>310</v>
      </c>
      <c r="B34" s="18" t="s">
        <v>186</v>
      </c>
      <c r="C34" s="18">
        <f>IF(AND(Table4[[#This Row],[Start Time]]=TIME(10, 30, 0), Table4[[#This Row],[End Time]]=TIME(11, 30, 0)), 2, 3)</f>
        <v>2</v>
      </c>
      <c r="D34" s="13" t="s">
        <v>187</v>
      </c>
      <c r="E34" s="18" t="s">
        <v>315</v>
      </c>
      <c r="F34" s="19">
        <v>0.4375</v>
      </c>
      <c r="G34" s="19">
        <v>0.47916666666666669</v>
      </c>
      <c r="H34" s="18">
        <f>COUNTIF([1]!Table1[Course
Code],Table4[[#This Row],[Code]])</f>
        <v>1</v>
      </c>
    </row>
    <row r="35" spans="1:8" ht="23" hidden="1" customHeight="1" x14ac:dyDescent="0.25">
      <c r="A35" s="18" t="s">
        <v>310</v>
      </c>
      <c r="B35" s="18" t="s">
        <v>149</v>
      </c>
      <c r="C35" s="18">
        <f>IF(AND(Table4[[#This Row],[Start Time]]=TIME(11, 30, 0), Table4[[#This Row],[End Time]]=TIME(12, 30, 0)), 3, 4)</f>
        <v>3</v>
      </c>
      <c r="D35" s="13" t="s">
        <v>150</v>
      </c>
      <c r="E35" s="18" t="s">
        <v>315</v>
      </c>
      <c r="F35" s="19">
        <v>0.47916666666666669</v>
      </c>
      <c r="G35" s="19">
        <v>0.52083333333333337</v>
      </c>
      <c r="H35" s="18">
        <f>COUNTIF([1]!Table1[Course
Code],Table4[[#This Row],[Code]])</f>
        <v>1</v>
      </c>
    </row>
    <row r="36" spans="1:8" ht="23" hidden="1" customHeight="1" x14ac:dyDescent="0.25">
      <c r="A36" s="18" t="s">
        <v>310</v>
      </c>
      <c r="B36" s="18" t="s">
        <v>222</v>
      </c>
      <c r="C36" s="18">
        <f>IF(AND(Table4[[#This Row],[Start Time]]=TIME(11, 30, 0), Table4[[#This Row],[End Time]]=TIME(12, 30, 0)), 3, 4)</f>
        <v>3</v>
      </c>
      <c r="D36" s="13" t="s">
        <v>223</v>
      </c>
      <c r="E36" s="18" t="s">
        <v>322</v>
      </c>
      <c r="F36" s="19">
        <v>0.47916666666666669</v>
      </c>
      <c r="G36" s="19">
        <v>0.52083333333333337</v>
      </c>
      <c r="H36" s="18">
        <f>COUNTIF([1]!Table1[Course
Code],Table4[[#This Row],[Code]])</f>
        <v>1</v>
      </c>
    </row>
    <row r="37" spans="1:8" ht="23" hidden="1" customHeight="1" x14ac:dyDescent="0.25">
      <c r="A37" s="18" t="s">
        <v>310</v>
      </c>
      <c r="B37" s="18" t="s">
        <v>222</v>
      </c>
      <c r="C37" s="18">
        <f>IF(AND(Table4[[#This Row],[Start Time]]=TIME(11, 30, 0), Table4[[#This Row],[End Time]]=TIME(12, 30, 0)), 3, 4)</f>
        <v>3</v>
      </c>
      <c r="D37" s="13" t="s">
        <v>223</v>
      </c>
      <c r="E37" s="18" t="s">
        <v>314</v>
      </c>
      <c r="F37" s="19">
        <v>0.47916666666666669</v>
      </c>
      <c r="G37" s="19">
        <v>0.52083333333333337</v>
      </c>
      <c r="H37" s="18">
        <f>COUNTIF([1]!Table1[Course
Code],Table4[[#This Row],[Code]])</f>
        <v>1</v>
      </c>
    </row>
    <row r="38" spans="1:8" ht="23" hidden="1" customHeight="1" x14ac:dyDescent="0.25">
      <c r="A38" s="18" t="s">
        <v>310</v>
      </c>
      <c r="B38" s="18" t="s">
        <v>138</v>
      </c>
      <c r="C38" s="18">
        <f>IF(AND(Table4[[#This Row],[Start Time]]=TIME(11, 30, 0), Table4[[#This Row],[End Time]]=TIME(12, 30, 0)), 3, 4)</f>
        <v>3</v>
      </c>
      <c r="D38" s="13" t="s">
        <v>139</v>
      </c>
      <c r="E38" s="18" t="s">
        <v>320</v>
      </c>
      <c r="F38" s="19">
        <v>0.47916666666666669</v>
      </c>
      <c r="G38" s="19">
        <v>0.52083333333333337</v>
      </c>
      <c r="H38" s="18">
        <f>COUNTIF([1]!Table1[Course
Code],Table4[[#This Row],[Code]])</f>
        <v>1</v>
      </c>
    </row>
    <row r="39" spans="1:8" ht="23" hidden="1" customHeight="1" x14ac:dyDescent="0.25">
      <c r="A39" s="18" t="s">
        <v>310</v>
      </c>
      <c r="B39" s="18" t="s">
        <v>206</v>
      </c>
      <c r="C39" s="18">
        <f>IF(AND(Table4[[#This Row],[Start Time]]=TIME(11, 30, 0), Table4[[#This Row],[End Time]]=TIME(12, 30, 0)), 3, 4)</f>
        <v>3</v>
      </c>
      <c r="D39" s="13" t="s">
        <v>207</v>
      </c>
      <c r="E39" s="18" t="s">
        <v>325</v>
      </c>
      <c r="F39" s="19">
        <v>0.47916666666666669</v>
      </c>
      <c r="G39" s="19">
        <v>0.52083333333333337</v>
      </c>
      <c r="H39" s="18">
        <f>COUNTIF([1]!Table1[Course
Code],Table4[[#This Row],[Code]])</f>
        <v>1</v>
      </c>
    </row>
    <row r="40" spans="1:8" ht="23" hidden="1" customHeight="1" x14ac:dyDescent="0.25">
      <c r="A40" s="18" t="s">
        <v>310</v>
      </c>
      <c r="B40" s="18" t="s">
        <v>151</v>
      </c>
      <c r="C40" s="18">
        <v>4</v>
      </c>
      <c r="D40" s="13" t="s">
        <v>152</v>
      </c>
      <c r="E40" s="18" t="s">
        <v>315</v>
      </c>
      <c r="F40" s="19">
        <v>0.58333333333333337</v>
      </c>
      <c r="G40" s="19">
        <v>0.66666666666666674</v>
      </c>
      <c r="H40" s="18">
        <f>COUNTIF([1]!Table1[Course
Code],Table4[[#This Row],[Code]])</f>
        <v>1</v>
      </c>
    </row>
    <row r="41" spans="1:8" ht="23" hidden="1" customHeight="1" x14ac:dyDescent="0.25">
      <c r="A41" s="18" t="s">
        <v>310</v>
      </c>
      <c r="B41" s="18" t="s">
        <v>151</v>
      </c>
      <c r="C41" s="18">
        <v>5</v>
      </c>
      <c r="D41" s="13" t="s">
        <v>152</v>
      </c>
      <c r="E41" s="18" t="s">
        <v>315</v>
      </c>
      <c r="F41" s="19">
        <v>0.58333333333333337</v>
      </c>
      <c r="G41" s="19">
        <v>0.66666666666666674</v>
      </c>
      <c r="H41" s="18">
        <f>COUNTIF([1]!Table1[Course
Code],Table4[[#This Row],[Code]])</f>
        <v>1</v>
      </c>
    </row>
    <row r="42" spans="1:8" ht="23" hidden="1" customHeight="1" x14ac:dyDescent="0.25">
      <c r="A42" s="18" t="s">
        <v>310</v>
      </c>
      <c r="B42" s="18" t="s">
        <v>142</v>
      </c>
      <c r="C42" s="18">
        <v>4</v>
      </c>
      <c r="D42" s="13" t="s">
        <v>143</v>
      </c>
      <c r="E42" s="18" t="s">
        <v>334</v>
      </c>
      <c r="F42" s="19">
        <v>0.58333333333333337</v>
      </c>
      <c r="G42" s="19">
        <v>0.70833333333333337</v>
      </c>
      <c r="H42" s="18">
        <f>COUNTIF([1]!Table1[Course
Code],Table4[[#This Row],[Code]])</f>
        <v>1</v>
      </c>
    </row>
    <row r="43" spans="1:8" ht="23" hidden="1" customHeight="1" x14ac:dyDescent="0.25">
      <c r="A43" s="18" t="s">
        <v>310</v>
      </c>
      <c r="B43" s="18" t="s">
        <v>142</v>
      </c>
      <c r="C43" s="18">
        <v>5</v>
      </c>
      <c r="D43" s="13" t="s">
        <v>143</v>
      </c>
      <c r="E43" s="18" t="s">
        <v>334</v>
      </c>
      <c r="F43" s="19">
        <v>0.58333333333333337</v>
      </c>
      <c r="G43" s="19">
        <v>0.70833333333333337</v>
      </c>
      <c r="H43" s="18">
        <f>COUNTIF([1]!Table1[Course
Code],Table4[[#This Row],[Code]])</f>
        <v>1</v>
      </c>
    </row>
    <row r="44" spans="1:8" ht="23" hidden="1" customHeight="1" x14ac:dyDescent="0.25">
      <c r="A44" s="18" t="s">
        <v>310</v>
      </c>
      <c r="B44" s="18" t="s">
        <v>142</v>
      </c>
      <c r="C44" s="18">
        <v>6</v>
      </c>
      <c r="D44" s="13" t="s">
        <v>143</v>
      </c>
      <c r="E44" s="18" t="s">
        <v>334</v>
      </c>
      <c r="F44" s="19">
        <v>0.58333333333333337</v>
      </c>
      <c r="G44" s="19">
        <v>0.70833333333333337</v>
      </c>
      <c r="H44" s="18">
        <f>COUNTIF([1]!Table1[Course
Code],Table4[[#This Row],[Code]])</f>
        <v>1</v>
      </c>
    </row>
    <row r="45" spans="1:8" ht="23" hidden="1" customHeight="1" x14ac:dyDescent="0.25">
      <c r="A45" s="18" t="s">
        <v>310</v>
      </c>
      <c r="B45" s="18" t="s">
        <v>158</v>
      </c>
      <c r="C45" s="18">
        <f>IF(AND(Table4[[#This Row],[Start Time]]=TIME(14, 0, 0), Table4[[#This Row],[End Time]]=TIME(15, 0, 0)), 4, 5)</f>
        <v>4</v>
      </c>
      <c r="D45" s="13" t="s">
        <v>159</v>
      </c>
      <c r="E45" s="18" t="s">
        <v>322</v>
      </c>
      <c r="F45" s="19">
        <v>0.58333333333333337</v>
      </c>
      <c r="G45" s="19">
        <v>0.625</v>
      </c>
      <c r="H45" s="18">
        <f>COUNTIF([1]!Table1[Course
Code],Table4[[#This Row],[Code]])</f>
        <v>1</v>
      </c>
    </row>
    <row r="46" spans="1:8" ht="23" hidden="1" customHeight="1" x14ac:dyDescent="0.25">
      <c r="A46" s="18" t="s">
        <v>310</v>
      </c>
      <c r="B46" s="18" t="s">
        <v>254</v>
      </c>
      <c r="C46" s="18">
        <f>IF(AND(Table4[[#This Row],[Start Time]]=TIME(14, 0, 0), Table4[[#This Row],[End Time]]=TIME(15, 0, 0)), 4, 5)</f>
        <v>4</v>
      </c>
      <c r="D46" s="22" t="s">
        <v>255</v>
      </c>
      <c r="E46" s="18" t="s">
        <v>327</v>
      </c>
      <c r="F46" s="19">
        <v>0.58333333333333337</v>
      </c>
      <c r="G46" s="19">
        <v>0.625</v>
      </c>
      <c r="H46" s="18">
        <f>COUNTIF([1]!Table1[Course
Code],Table4[[#This Row],[Code]])</f>
        <v>1</v>
      </c>
    </row>
    <row r="47" spans="1:8" ht="23" hidden="1" customHeight="1" x14ac:dyDescent="0.25">
      <c r="A47" s="18" t="s">
        <v>310</v>
      </c>
      <c r="B47" s="18" t="s">
        <v>174</v>
      </c>
      <c r="C47" s="18">
        <f>IF(AND(Table4[[#This Row],[Start Time]]=TIME(14, 0, 0), Table4[[#This Row],[End Time]]=TIME(15, 0, 0)), 4, 5)</f>
        <v>4</v>
      </c>
      <c r="D47" s="13" t="s">
        <v>175</v>
      </c>
      <c r="E47" s="18" t="s">
        <v>313</v>
      </c>
      <c r="F47" s="19">
        <v>0.58333333333333337</v>
      </c>
      <c r="G47" s="19">
        <v>0.625</v>
      </c>
      <c r="H47" s="18">
        <f>COUNTIF([1]!Table1[Course
Code],Table4[[#This Row],[Code]])</f>
        <v>1</v>
      </c>
    </row>
    <row r="48" spans="1:8" ht="23" hidden="1" customHeight="1" x14ac:dyDescent="0.25">
      <c r="A48" s="18" t="s">
        <v>310</v>
      </c>
      <c r="B48" s="18" t="s">
        <v>129</v>
      </c>
      <c r="C48" s="18">
        <v>4</v>
      </c>
      <c r="D48" s="13" t="s">
        <v>130</v>
      </c>
      <c r="E48" s="18" t="s">
        <v>311</v>
      </c>
      <c r="F48" s="19">
        <v>0.58333333333333337</v>
      </c>
      <c r="G48" s="19">
        <v>0.70833333333333337</v>
      </c>
      <c r="H48" s="18">
        <f>COUNTIF([1]!Table1[Course
Code],Table4[[#This Row],[Code]])</f>
        <v>1</v>
      </c>
    </row>
    <row r="49" spans="1:8" ht="23" hidden="1" customHeight="1" x14ac:dyDescent="0.25">
      <c r="A49" s="18" t="s">
        <v>310</v>
      </c>
      <c r="B49" s="18" t="s">
        <v>129</v>
      </c>
      <c r="C49" s="18">
        <v>5</v>
      </c>
      <c r="D49" s="13" t="s">
        <v>130</v>
      </c>
      <c r="E49" s="18" t="s">
        <v>311</v>
      </c>
      <c r="F49" s="19">
        <v>0.58333333333333337</v>
      </c>
      <c r="G49" s="19">
        <v>0.70833333333333337</v>
      </c>
      <c r="H49" s="18">
        <f>COUNTIF([1]!Table1[Course
Code],Table4[[#This Row],[Code]])</f>
        <v>1</v>
      </c>
    </row>
    <row r="50" spans="1:8" ht="23" hidden="1" customHeight="1" x14ac:dyDescent="0.25">
      <c r="A50" s="18" t="s">
        <v>310</v>
      </c>
      <c r="B50" s="18" t="s">
        <v>129</v>
      </c>
      <c r="C50" s="18">
        <v>6</v>
      </c>
      <c r="D50" s="13" t="s">
        <v>130</v>
      </c>
      <c r="E50" s="18" t="s">
        <v>311</v>
      </c>
      <c r="F50" s="19">
        <v>0.58333333333333337</v>
      </c>
      <c r="G50" s="19">
        <v>0.70833333333333337</v>
      </c>
      <c r="H50" s="18">
        <f>COUNTIF([1]!Table1[Course
Code],Table4[[#This Row],[Code]])</f>
        <v>1</v>
      </c>
    </row>
    <row r="51" spans="1:8" ht="23" hidden="1" customHeight="1" x14ac:dyDescent="0.25">
      <c r="A51" s="18" t="s">
        <v>310</v>
      </c>
      <c r="B51" s="18" t="s">
        <v>198</v>
      </c>
      <c r="C51" s="18">
        <v>4</v>
      </c>
      <c r="D51" s="13" t="s">
        <v>199</v>
      </c>
      <c r="E51" s="18" t="s">
        <v>333</v>
      </c>
      <c r="F51" s="19">
        <v>0.58333333333333337</v>
      </c>
      <c r="G51" s="19">
        <v>0.70833333333333337</v>
      </c>
      <c r="H51" s="18">
        <f>COUNTIF([1]!Table1[Course
Code],Table4[[#This Row],[Code]])</f>
        <v>1</v>
      </c>
    </row>
    <row r="52" spans="1:8" ht="23" hidden="1" customHeight="1" x14ac:dyDescent="0.25">
      <c r="A52" s="18" t="s">
        <v>310</v>
      </c>
      <c r="B52" s="18" t="s">
        <v>198</v>
      </c>
      <c r="C52" s="18">
        <v>5</v>
      </c>
      <c r="D52" s="13" t="s">
        <v>199</v>
      </c>
      <c r="E52" s="18" t="s">
        <v>333</v>
      </c>
      <c r="F52" s="19">
        <v>0.58333333333333337</v>
      </c>
      <c r="G52" s="19">
        <v>0.70833333333333337</v>
      </c>
      <c r="H52" s="18">
        <f>COUNTIF([1]!Table1[Course
Code],Table4[[#This Row],[Code]])</f>
        <v>1</v>
      </c>
    </row>
    <row r="53" spans="1:8" ht="23" hidden="1" customHeight="1" x14ac:dyDescent="0.25">
      <c r="A53" s="18" t="s">
        <v>310</v>
      </c>
      <c r="B53" s="18" t="s">
        <v>198</v>
      </c>
      <c r="C53" s="18">
        <v>6</v>
      </c>
      <c r="D53" s="13" t="s">
        <v>199</v>
      </c>
      <c r="E53" s="18" t="s">
        <v>333</v>
      </c>
      <c r="F53" s="19">
        <v>0.58333333333333337</v>
      </c>
      <c r="G53" s="19">
        <v>0.70833333333333337</v>
      </c>
      <c r="H53" s="18">
        <f>COUNTIF([1]!Table1[Course
Code],Table4[[#This Row],[Code]])</f>
        <v>1</v>
      </c>
    </row>
    <row r="54" spans="1:8" ht="23" hidden="1" customHeight="1" x14ac:dyDescent="0.25">
      <c r="A54" s="18" t="s">
        <v>310</v>
      </c>
      <c r="B54" s="18" t="s">
        <v>300</v>
      </c>
      <c r="C54" s="18">
        <v>4</v>
      </c>
      <c r="D54" s="22" t="s">
        <v>301</v>
      </c>
      <c r="E54" s="18" t="s">
        <v>333</v>
      </c>
      <c r="F54" s="19">
        <v>0.58333333333333337</v>
      </c>
      <c r="G54" s="19">
        <v>0.70833333333333337</v>
      </c>
      <c r="H54" s="18">
        <f>COUNTIF([1]!Table1[Course
Code],Table4[[#This Row],[Code]])</f>
        <v>1</v>
      </c>
    </row>
    <row r="55" spans="1:8" ht="23" hidden="1" customHeight="1" x14ac:dyDescent="0.25">
      <c r="A55" s="18" t="s">
        <v>310</v>
      </c>
      <c r="B55" s="18" t="s">
        <v>300</v>
      </c>
      <c r="C55" s="18">
        <v>5</v>
      </c>
      <c r="D55" s="22" t="s">
        <v>301</v>
      </c>
      <c r="E55" s="18" t="s">
        <v>333</v>
      </c>
      <c r="F55" s="19">
        <v>0.58333333333333337</v>
      </c>
      <c r="G55" s="19">
        <v>0.70833333333333337</v>
      </c>
      <c r="H55" s="18">
        <f>COUNTIF([1]!Table1[Course
Code],Table4[[#This Row],[Code]])</f>
        <v>1</v>
      </c>
    </row>
    <row r="56" spans="1:8" ht="23" hidden="1" customHeight="1" x14ac:dyDescent="0.25">
      <c r="A56" s="18" t="s">
        <v>310</v>
      </c>
      <c r="B56" s="18" t="s">
        <v>300</v>
      </c>
      <c r="C56" s="18">
        <v>6</v>
      </c>
      <c r="D56" s="22" t="s">
        <v>301</v>
      </c>
      <c r="E56" s="18" t="s">
        <v>333</v>
      </c>
      <c r="F56" s="19">
        <v>0.58333333333333337</v>
      </c>
      <c r="G56" s="19">
        <v>0.70833333333333337</v>
      </c>
      <c r="H56" s="18">
        <f>COUNTIF([1]!Table1[Course
Code],Table4[[#This Row],[Code]])</f>
        <v>1</v>
      </c>
    </row>
    <row r="57" spans="1:8" ht="23" hidden="1" customHeight="1" x14ac:dyDescent="0.25">
      <c r="A57" s="18" t="s">
        <v>310</v>
      </c>
      <c r="B57" s="18" t="s">
        <v>294</v>
      </c>
      <c r="C57" s="18">
        <f>IF(AND(Table4[[#This Row],[Start Time]]=TIME(14, 0, 0), Table4[[#This Row],[End Time]]=TIME(15, 0, 0)), 4, 5)</f>
        <v>4</v>
      </c>
      <c r="D57" s="22" t="s">
        <v>295</v>
      </c>
      <c r="E57" s="18" t="s">
        <v>328</v>
      </c>
      <c r="F57" s="19">
        <v>0.58333333333333337</v>
      </c>
      <c r="G57" s="19">
        <v>0.625</v>
      </c>
      <c r="H57" s="18">
        <f>COUNTIF([1]!Table1[Course
Code],Table4[[#This Row],[Code]])</f>
        <v>1</v>
      </c>
    </row>
    <row r="58" spans="1:8" ht="23" hidden="1" customHeight="1" x14ac:dyDescent="0.25">
      <c r="A58" s="18" t="s">
        <v>310</v>
      </c>
      <c r="B58" s="18" t="s">
        <v>229</v>
      </c>
      <c r="C58" s="18">
        <v>4</v>
      </c>
      <c r="D58" s="13" t="s">
        <v>230</v>
      </c>
      <c r="E58" s="18" t="s">
        <v>333</v>
      </c>
      <c r="F58" s="19">
        <v>0.58333333333333337</v>
      </c>
      <c r="G58" s="19">
        <v>0.70833333333333337</v>
      </c>
      <c r="H58" s="18">
        <f>COUNTIF([1]!Table1[Course
Code],Table4[[#This Row],[Code]])</f>
        <v>1</v>
      </c>
    </row>
    <row r="59" spans="1:8" ht="23" hidden="1" customHeight="1" x14ac:dyDescent="0.25">
      <c r="A59" s="18" t="s">
        <v>310</v>
      </c>
      <c r="B59" s="18" t="s">
        <v>229</v>
      </c>
      <c r="C59" s="18">
        <v>5</v>
      </c>
      <c r="D59" s="13" t="s">
        <v>230</v>
      </c>
      <c r="E59" s="18" t="s">
        <v>333</v>
      </c>
      <c r="F59" s="19">
        <v>0.58333333333333337</v>
      </c>
      <c r="G59" s="19">
        <v>0.70833333333333337</v>
      </c>
      <c r="H59" s="18">
        <f>COUNTIF([1]!Table1[Course
Code],Table4[[#This Row],[Code]])</f>
        <v>1</v>
      </c>
    </row>
    <row r="60" spans="1:8" ht="23" hidden="1" customHeight="1" x14ac:dyDescent="0.25">
      <c r="A60" s="18" t="s">
        <v>310</v>
      </c>
      <c r="B60" s="18" t="s">
        <v>229</v>
      </c>
      <c r="C60" s="18">
        <v>6</v>
      </c>
      <c r="D60" s="13" t="s">
        <v>230</v>
      </c>
      <c r="E60" s="18" t="s">
        <v>333</v>
      </c>
      <c r="F60" s="19">
        <v>0.58333333333333337</v>
      </c>
      <c r="G60" s="19">
        <v>0.70833333333333337</v>
      </c>
      <c r="H60" s="18">
        <f>COUNTIF([1]!Table1[Course
Code],Table4[[#This Row],[Code]])</f>
        <v>1</v>
      </c>
    </row>
    <row r="61" spans="1:8" ht="23" hidden="1" customHeight="1" x14ac:dyDescent="0.25">
      <c r="A61" s="18" t="s">
        <v>310</v>
      </c>
      <c r="B61" s="18" t="s">
        <v>259</v>
      </c>
      <c r="C61" s="18">
        <f>IF(AND(Table4[[#This Row],[Start Time]]=TIME(15, 0, 0), Table4[[#This Row],[End Time]]=TIME(16, 0, 0)), 5, 6)</f>
        <v>5</v>
      </c>
      <c r="D61" s="22" t="s">
        <v>260</v>
      </c>
      <c r="E61" s="18" t="s">
        <v>324</v>
      </c>
      <c r="F61" s="19">
        <v>0.625</v>
      </c>
      <c r="G61" s="19">
        <v>0.66666666666666663</v>
      </c>
      <c r="H61" s="18">
        <f>COUNTIF([1]!Table1[Course
Code],Table4[[#This Row],[Code]])</f>
        <v>1</v>
      </c>
    </row>
    <row r="62" spans="1:8" ht="23" hidden="1" customHeight="1" x14ac:dyDescent="0.25">
      <c r="A62" s="18" t="s">
        <v>310</v>
      </c>
      <c r="B62" s="18" t="s">
        <v>261</v>
      </c>
      <c r="C62" s="18">
        <f>IF(AND(Table4[[#This Row],[Start Time]]=TIME(15, 0, 0), Table4[[#This Row],[End Time]]=TIME(16, 0, 0)), 5, 6)</f>
        <v>5</v>
      </c>
      <c r="D62" s="18" t="s">
        <v>262</v>
      </c>
      <c r="E62" s="18" t="s">
        <v>323</v>
      </c>
      <c r="F62" s="19">
        <v>0.625</v>
      </c>
      <c r="G62" s="19">
        <v>0.66666666666666663</v>
      </c>
      <c r="H62" s="18">
        <f>COUNTIF([1]!Table1[Course
Code],Table4[[#This Row],[Code]])</f>
        <v>1</v>
      </c>
    </row>
    <row r="63" spans="1:8" ht="23" hidden="1" customHeight="1" x14ac:dyDescent="0.25">
      <c r="A63" s="18" t="s">
        <v>310</v>
      </c>
      <c r="B63" s="18" t="s">
        <v>263</v>
      </c>
      <c r="C63" s="18">
        <f>IF(AND(Table4[[#This Row],[Start Time]]=TIME(15, 0, 0), Table4[[#This Row],[End Time]]=TIME(16, 0, 0)), 5, 6)</f>
        <v>5</v>
      </c>
      <c r="D63" s="22" t="s">
        <v>264</v>
      </c>
      <c r="E63" s="18" t="s">
        <v>326</v>
      </c>
      <c r="F63" s="19">
        <v>0.625</v>
      </c>
      <c r="G63" s="19">
        <v>0.66666666666666663</v>
      </c>
      <c r="H63" s="18">
        <f>COUNTIF([1]!Table1[Course
Code],Table4[[#This Row],[Code]])</f>
        <v>1</v>
      </c>
    </row>
    <row r="64" spans="1:8" ht="23" hidden="1" customHeight="1" x14ac:dyDescent="0.25">
      <c r="A64" s="18" t="s">
        <v>310</v>
      </c>
      <c r="B64" s="18" t="s">
        <v>256</v>
      </c>
      <c r="C64" s="18">
        <f>IF(AND(Table4[[#This Row],[Start Time]]=TIME(15, 0, 0), Table4[[#This Row],[End Time]]=TIME(16, 0, 0)), 5, 6)</f>
        <v>5</v>
      </c>
      <c r="D64" s="18" t="s">
        <v>257</v>
      </c>
      <c r="E64" s="18" t="s">
        <v>329</v>
      </c>
      <c r="F64" s="19">
        <v>0.625</v>
      </c>
      <c r="G64" s="19">
        <v>0.66666666666666663</v>
      </c>
      <c r="H64" s="18">
        <f>COUNTIF([1]!Table1[Course
Code],Table4[[#This Row],[Code]])</f>
        <v>1</v>
      </c>
    </row>
    <row r="65" spans="1:8" ht="23" hidden="1" customHeight="1" x14ac:dyDescent="0.25">
      <c r="A65" s="18" t="s">
        <v>310</v>
      </c>
      <c r="B65" s="18" t="s">
        <v>190</v>
      </c>
      <c r="C65" s="18">
        <f>IF(AND(Table4[[#This Row],[Start Time]]=TIME(15, 0, 0), Table4[[#This Row],[End Time]]=TIME(16, 0, 0)), 5, 6)</f>
        <v>5</v>
      </c>
      <c r="D65" s="13" t="s">
        <v>191</v>
      </c>
      <c r="E65" s="18" t="s">
        <v>327</v>
      </c>
      <c r="F65" s="19">
        <v>0.625</v>
      </c>
      <c r="G65" s="19">
        <v>0.66666666666666663</v>
      </c>
      <c r="H65" s="18">
        <f>COUNTIF([1]!Table1[Course
Code],Table4[[#This Row],[Code]])</f>
        <v>1</v>
      </c>
    </row>
    <row r="66" spans="1:8" ht="23" hidden="1" customHeight="1" x14ac:dyDescent="0.25">
      <c r="A66" s="18" t="s">
        <v>310</v>
      </c>
      <c r="B66" s="18" t="s">
        <v>296</v>
      </c>
      <c r="C66" s="18">
        <f>IF(AND(Table4[[#This Row],[Start Time]]=TIME(16, 0, 0), Table4[[#This Row],[End Time]]=TIME(17, 0, 0)), 6, 7)</f>
        <v>6</v>
      </c>
      <c r="D66" s="22" t="s">
        <v>297</v>
      </c>
      <c r="E66" s="18" t="s">
        <v>324</v>
      </c>
      <c r="F66" s="19">
        <v>0.66666666666666663</v>
      </c>
      <c r="G66" s="19">
        <v>0.70833333333333326</v>
      </c>
      <c r="H66" s="18">
        <f>COUNTIF([1]!Table1[Course
Code],Table4[[#This Row],[Code]])</f>
        <v>1</v>
      </c>
    </row>
    <row r="67" spans="1:8" ht="23" hidden="1" customHeight="1" x14ac:dyDescent="0.25">
      <c r="A67" s="18" t="s">
        <v>310</v>
      </c>
      <c r="B67" s="18" t="s">
        <v>269</v>
      </c>
      <c r="C67" s="18">
        <f>IF(AND(Table4[[#This Row],[Start Time]]=TIME(17, 0, 0), Table4[[#This Row],[End Time]]=TIME(18, 0, 0)), 7, 8)</f>
        <v>7</v>
      </c>
      <c r="D67" s="14" t="s">
        <v>270</v>
      </c>
      <c r="E67" s="18" t="s">
        <v>325</v>
      </c>
      <c r="F67" s="19">
        <v>0.70833333333333337</v>
      </c>
      <c r="G67" s="19">
        <v>0.75</v>
      </c>
      <c r="H67" s="18">
        <f>COUNTIF([1]!Table1[Course
Code],Table4[[#This Row],[Code]])</f>
        <v>1</v>
      </c>
    </row>
    <row r="68" spans="1:8" ht="23" hidden="1" customHeight="1" x14ac:dyDescent="0.25">
      <c r="A68" s="18" t="s">
        <v>310</v>
      </c>
      <c r="B68" s="18" t="s">
        <v>265</v>
      </c>
      <c r="C68" s="18">
        <f>IF(AND(Table4[[#This Row],[Start Time]]=TIME(17, 0, 0), Table4[[#This Row],[End Time]]=TIME(18, 0, 0)), 7, 8)</f>
        <v>7</v>
      </c>
      <c r="D68" s="22" t="s">
        <v>266</v>
      </c>
      <c r="E68" s="18" t="s">
        <v>328</v>
      </c>
      <c r="F68" s="19">
        <v>0.70833333333333337</v>
      </c>
      <c r="G68" s="19">
        <v>0.75</v>
      </c>
      <c r="H68" s="18">
        <f>COUNTIF([1]!Table1[Course
Code],Table4[[#This Row],[Code]])</f>
        <v>1</v>
      </c>
    </row>
    <row r="69" spans="1:8" ht="23" hidden="1" customHeight="1" x14ac:dyDescent="0.25">
      <c r="A69" s="18" t="s">
        <v>310</v>
      </c>
      <c r="B69" s="18" t="s">
        <v>267</v>
      </c>
      <c r="C69" s="18">
        <f>IF(AND(Table4[[#This Row],[Start Time]]=TIME(17, 0, 0), Table4[[#This Row],[End Time]]=TIME(18, 0, 0)), 7, 8)</f>
        <v>7</v>
      </c>
      <c r="D69" s="22" t="s">
        <v>268</v>
      </c>
      <c r="E69" s="18" t="s">
        <v>329</v>
      </c>
      <c r="F69" s="19">
        <v>0.70833333333333337</v>
      </c>
      <c r="G69" s="19">
        <v>0.75</v>
      </c>
      <c r="H69" s="18">
        <f>COUNTIF([1]!Table1[Course
Code],Table4[[#This Row],[Code]])</f>
        <v>1</v>
      </c>
    </row>
    <row r="70" spans="1:8" ht="23" hidden="1" customHeight="1" x14ac:dyDescent="0.25">
      <c r="A70" s="20" t="s">
        <v>316</v>
      </c>
      <c r="B70" s="18" t="s">
        <v>123</v>
      </c>
      <c r="C70" s="18">
        <f>IF(AND(Table4[[#This Row],[Start Time]]=TIME(15, 0, 0), Table4[[#This Row],[End Time]]=TIME(16, 0, 0)), 5, 6)</f>
        <v>5</v>
      </c>
      <c r="D70" s="13" t="s">
        <v>124</v>
      </c>
      <c r="E70" s="18" t="s">
        <v>313</v>
      </c>
      <c r="F70" s="19">
        <v>0.625</v>
      </c>
      <c r="G70" s="19">
        <v>0.66666666666666663</v>
      </c>
      <c r="H70" s="18">
        <f>COUNTIF([1]!Table1[Course
Code],Table4[[#This Row],[Code]])</f>
        <v>1</v>
      </c>
    </row>
    <row r="71" spans="1:8" ht="23" hidden="1" customHeight="1" x14ac:dyDescent="0.25">
      <c r="A71" s="20" t="s">
        <v>316</v>
      </c>
      <c r="B71" s="18" t="s">
        <v>149</v>
      </c>
      <c r="C71" s="18">
        <f>IF(AND(Table4[[#This Row],[Start Time]]=TIME(11, 30, 0), Table4[[#This Row],[End Time]]=TIME(12, 30, 0)), 3, 4)</f>
        <v>3</v>
      </c>
      <c r="D71" s="13" t="s">
        <v>150</v>
      </c>
      <c r="E71" s="18" t="s">
        <v>315</v>
      </c>
      <c r="F71" s="19">
        <v>0.47916666666666669</v>
      </c>
      <c r="G71" s="19">
        <v>0.52083333333333337</v>
      </c>
      <c r="H71" s="18">
        <f>COUNTIF([1]!Table1[Course
Code],Table4[[#This Row],[Code]])</f>
        <v>1</v>
      </c>
    </row>
    <row r="72" spans="1:8" ht="23" hidden="1" customHeight="1" x14ac:dyDescent="0.25">
      <c r="A72" s="20" t="s">
        <v>316</v>
      </c>
      <c r="B72" s="18" t="s">
        <v>146</v>
      </c>
      <c r="C72" s="18">
        <f>IF(AND(Table4[[#This Row],[Start Time]]=TIME(8, 30, 0), Table4[[#This Row],[End Time]]=TIME(9, 30, 0)), 0, 1)</f>
        <v>0</v>
      </c>
      <c r="D72" s="13" t="s">
        <v>147</v>
      </c>
      <c r="E72" s="18" t="s">
        <v>315</v>
      </c>
      <c r="F72" s="19">
        <v>0.35416666666666669</v>
      </c>
      <c r="G72" s="19">
        <v>0.39583333333333337</v>
      </c>
      <c r="H72" s="18">
        <f>COUNTIF([1]!Table1[Course
Code],Table4[[#This Row],[Code]])</f>
        <v>1</v>
      </c>
    </row>
    <row r="73" spans="1:8" ht="23" hidden="1" customHeight="1" x14ac:dyDescent="0.25">
      <c r="A73" s="20" t="s">
        <v>316</v>
      </c>
      <c r="B73" s="18" t="s">
        <v>151</v>
      </c>
      <c r="C73" s="18">
        <f>IF(AND(Table4[[#This Row],[Start Time]]=TIME(9, 30, 0), Table4[[#This Row],[End Time]]=TIME(10, 30, 0)), 1, 2)</f>
        <v>1</v>
      </c>
      <c r="D73" s="13" t="s">
        <v>152</v>
      </c>
      <c r="E73" s="18" t="s">
        <v>315</v>
      </c>
      <c r="F73" s="19">
        <v>0.39583333333333331</v>
      </c>
      <c r="G73" s="19">
        <v>0.4375</v>
      </c>
      <c r="H73" s="18">
        <f>COUNTIF([1]!Table1[Course
Code],Table4[[#This Row],[Code]])</f>
        <v>1</v>
      </c>
    </row>
    <row r="74" spans="1:8" ht="23" hidden="1" customHeight="1" x14ac:dyDescent="0.25">
      <c r="A74" s="20" t="s">
        <v>316</v>
      </c>
      <c r="B74" s="18" t="s">
        <v>216</v>
      </c>
      <c r="C74" s="18">
        <f>IF(AND(Table4[[#This Row],[Start Time]]=TIME(10, 30, 0), Table4[[#This Row],[End Time]]=TIME(11, 30, 0)), 2, 3)</f>
        <v>2</v>
      </c>
      <c r="D74" s="13" t="s">
        <v>217</v>
      </c>
      <c r="E74" s="18" t="s">
        <v>322</v>
      </c>
      <c r="F74" s="19">
        <v>0.4375</v>
      </c>
      <c r="G74" s="19">
        <v>0.47916666666666669</v>
      </c>
      <c r="H74" s="18">
        <f>COUNTIF([1]!Table1[Course
Code],Table4[[#This Row],[Code]])</f>
        <v>1</v>
      </c>
    </row>
    <row r="75" spans="1:8" ht="23" hidden="1" customHeight="1" x14ac:dyDescent="0.25">
      <c r="A75" s="20" t="s">
        <v>316</v>
      </c>
      <c r="B75" s="18" t="s">
        <v>222</v>
      </c>
      <c r="C75" s="18">
        <f>IF(AND(Table4[[#This Row],[Start Time]]=TIME(11, 30, 0), Table4[[#This Row],[End Time]]=TIME(12, 30, 0)), 3, 4)</f>
        <v>3</v>
      </c>
      <c r="D75" s="13" t="s">
        <v>223</v>
      </c>
      <c r="E75" s="18" t="s">
        <v>322</v>
      </c>
      <c r="F75" s="19">
        <v>0.47916666666666669</v>
      </c>
      <c r="G75" s="19">
        <v>0.52083333333333337</v>
      </c>
      <c r="H75" s="18">
        <f>COUNTIF([1]!Table1[Course
Code],Table4[[#This Row],[Code]])</f>
        <v>1</v>
      </c>
    </row>
    <row r="76" spans="1:8" ht="23" hidden="1" customHeight="1" x14ac:dyDescent="0.25">
      <c r="A76" s="20" t="s">
        <v>316</v>
      </c>
      <c r="B76" s="18" t="s">
        <v>222</v>
      </c>
      <c r="C76" s="18">
        <f>IF(AND(Table4[[#This Row],[Start Time]]=TIME(11, 30, 0), Table4[[#This Row],[End Time]]=TIME(12, 30, 0)), 3, 4)</f>
        <v>3</v>
      </c>
      <c r="D76" s="13" t="s">
        <v>223</v>
      </c>
      <c r="E76" s="18" t="s">
        <v>314</v>
      </c>
      <c r="F76" s="19">
        <v>0.47916666666666669</v>
      </c>
      <c r="G76" s="19">
        <v>0.52083333333333337</v>
      </c>
      <c r="H76" s="18">
        <f>COUNTIF([1]!Table1[Course
Code],Table4[[#This Row],[Code]])</f>
        <v>1</v>
      </c>
    </row>
    <row r="77" spans="1:8" ht="23" hidden="1" customHeight="1" x14ac:dyDescent="0.25">
      <c r="A77" s="20" t="s">
        <v>316</v>
      </c>
      <c r="B77" s="18" t="s">
        <v>222</v>
      </c>
      <c r="C77" s="18">
        <v>4</v>
      </c>
      <c r="D77" s="13" t="s">
        <v>223</v>
      </c>
      <c r="E77" s="18" t="s">
        <v>334</v>
      </c>
      <c r="F77" s="19">
        <v>0.58333333333333337</v>
      </c>
      <c r="G77" s="19">
        <v>0.66666666666666663</v>
      </c>
      <c r="H77" s="18">
        <f>COUNTIF([1]!Table1[Course
Code],Table4[[#This Row],[Code]])</f>
        <v>1</v>
      </c>
    </row>
    <row r="78" spans="1:8" ht="23" hidden="1" customHeight="1" x14ac:dyDescent="0.25">
      <c r="A78" s="20" t="s">
        <v>316</v>
      </c>
      <c r="B78" s="18" t="s">
        <v>222</v>
      </c>
      <c r="C78" s="18">
        <v>5</v>
      </c>
      <c r="D78" s="13" t="s">
        <v>223</v>
      </c>
      <c r="E78" s="18" t="s">
        <v>334</v>
      </c>
      <c r="F78" s="19">
        <v>0.58333333333333337</v>
      </c>
      <c r="G78" s="19">
        <v>0.66666666666666663</v>
      </c>
      <c r="H78" s="18">
        <f>COUNTIF([1]!Table1[Course
Code],Table4[[#This Row],[Code]])</f>
        <v>1</v>
      </c>
    </row>
    <row r="79" spans="1:8" ht="23" hidden="1" customHeight="1" x14ac:dyDescent="0.25">
      <c r="A79" s="20" t="s">
        <v>316</v>
      </c>
      <c r="B79" s="18" t="s">
        <v>222</v>
      </c>
      <c r="C79" s="18">
        <v>6</v>
      </c>
      <c r="D79" s="13" t="s">
        <v>223</v>
      </c>
      <c r="E79" s="18" t="s">
        <v>334</v>
      </c>
      <c r="F79" s="19">
        <v>0.6875</v>
      </c>
      <c r="G79" s="19">
        <v>0.77083333333333337</v>
      </c>
      <c r="H79" s="18">
        <f>COUNTIF([1]!Table1[Course
Code],Table4[[#This Row],[Code]])</f>
        <v>1</v>
      </c>
    </row>
    <row r="80" spans="1:8" ht="23" hidden="1" customHeight="1" x14ac:dyDescent="0.25">
      <c r="A80" s="20" t="s">
        <v>316</v>
      </c>
      <c r="B80" s="18" t="s">
        <v>222</v>
      </c>
      <c r="C80" s="18">
        <v>7</v>
      </c>
      <c r="D80" s="13" t="s">
        <v>223</v>
      </c>
      <c r="E80" s="18" t="s">
        <v>334</v>
      </c>
      <c r="F80" s="19">
        <v>0.6875</v>
      </c>
      <c r="G80" s="19">
        <v>0.77083333333333337</v>
      </c>
      <c r="H80" s="18">
        <f>COUNTIF([1]!Table1[Course
Code],Table4[[#This Row],[Code]])</f>
        <v>1</v>
      </c>
    </row>
    <row r="81" spans="1:8" ht="23" hidden="1" customHeight="1" x14ac:dyDescent="0.25">
      <c r="A81" s="20" t="s">
        <v>316</v>
      </c>
      <c r="B81" s="18" t="s">
        <v>162</v>
      </c>
      <c r="C81" s="18">
        <f>IF(AND(Table4[[#This Row],[Start Time]]=TIME(15, 0, 0), Table4[[#This Row],[End Time]]=TIME(16, 0, 0)), 5, 6)</f>
        <v>5</v>
      </c>
      <c r="D81" s="13" t="s">
        <v>163</v>
      </c>
      <c r="E81" s="18" t="s">
        <v>323</v>
      </c>
      <c r="F81" s="19">
        <v>0.625</v>
      </c>
      <c r="G81" s="19">
        <v>0.66666666666666663</v>
      </c>
      <c r="H81" s="18">
        <f>COUNTIF([1]!Table1[Course
Code],Table4[[#This Row],[Code]])</f>
        <v>1</v>
      </c>
    </row>
    <row r="82" spans="1:8" ht="23" hidden="1" customHeight="1" x14ac:dyDescent="0.25">
      <c r="A82" s="20" t="s">
        <v>316</v>
      </c>
      <c r="B82" s="18" t="s">
        <v>194</v>
      </c>
      <c r="C82" s="18">
        <v>2</v>
      </c>
      <c r="D82" s="13" t="s">
        <v>195</v>
      </c>
      <c r="E82" s="18" t="s">
        <v>312</v>
      </c>
      <c r="F82" s="19">
        <v>0.4375</v>
      </c>
      <c r="G82" s="19">
        <v>0.5</v>
      </c>
      <c r="H82" s="18">
        <f>COUNTIF([1]!Table1[Course
Code],Table4[[#This Row],[Code]])</f>
        <v>1</v>
      </c>
    </row>
    <row r="83" spans="1:8" ht="23" hidden="1" customHeight="1" x14ac:dyDescent="0.25">
      <c r="A83" s="20" t="s">
        <v>316</v>
      </c>
      <c r="B83" s="18" t="s">
        <v>194</v>
      </c>
      <c r="C83" s="18">
        <v>3</v>
      </c>
      <c r="D83" s="13" t="s">
        <v>195</v>
      </c>
      <c r="E83" s="18" t="s">
        <v>312</v>
      </c>
      <c r="F83" s="19">
        <v>0.4375</v>
      </c>
      <c r="G83" s="19">
        <v>0.5</v>
      </c>
      <c r="H83" s="18">
        <f>COUNTIF([1]!Table1[Course
Code],Table4[[#This Row],[Code]])</f>
        <v>1</v>
      </c>
    </row>
    <row r="84" spans="1:8" ht="23" hidden="1" customHeight="1" x14ac:dyDescent="0.25">
      <c r="A84" s="20" t="s">
        <v>316</v>
      </c>
      <c r="B84" s="18" t="s">
        <v>252</v>
      </c>
      <c r="C84" s="18">
        <f>IF(AND(Table4[[#This Row],[Start Time]]=TIME(14, 0, 0), Table4[[#This Row],[End Time]]=TIME(15, 0, 0)), 4, 5)</f>
        <v>4</v>
      </c>
      <c r="D84" s="22" t="s">
        <v>253</v>
      </c>
      <c r="E84" s="18" t="s">
        <v>323</v>
      </c>
      <c r="F84" s="19">
        <v>0.58333333333333337</v>
      </c>
      <c r="G84" s="19">
        <v>0.625</v>
      </c>
      <c r="H84" s="18">
        <f>COUNTIF([1]!Table1[Course
Code],Table4[[#This Row],[Code]])</f>
        <v>1</v>
      </c>
    </row>
    <row r="85" spans="1:8" ht="23" hidden="1" customHeight="1" x14ac:dyDescent="0.25">
      <c r="A85" s="20" t="s">
        <v>316</v>
      </c>
      <c r="B85" s="18" t="s">
        <v>291</v>
      </c>
      <c r="C85" s="18">
        <f>IF(AND(Table4[[#This Row],[Start Time]]=TIME(8, 30, 0), Table4[[#This Row],[End Time]]=TIME(9, 30, 0)), 0, 1)</f>
        <v>0</v>
      </c>
      <c r="D85" s="22" t="s">
        <v>292</v>
      </c>
      <c r="E85" s="18" t="s">
        <v>330</v>
      </c>
      <c r="F85" s="19">
        <v>0.35416666666666669</v>
      </c>
      <c r="G85" s="19">
        <v>0.39583333333333337</v>
      </c>
      <c r="H85" s="18">
        <f>COUNTIF([1]!Table1[Course
Code],Table4[[#This Row],[Code]])</f>
        <v>1</v>
      </c>
    </row>
    <row r="86" spans="1:8" ht="23" hidden="1" customHeight="1" x14ac:dyDescent="0.25">
      <c r="A86" s="20" t="s">
        <v>316</v>
      </c>
      <c r="B86" s="18" t="s">
        <v>239</v>
      </c>
      <c r="C86" s="18">
        <f>IF(AND(Table4[[#This Row],[Start Time]]=TIME(8, 30, 0), Table4[[#This Row],[End Time]]=TIME(9, 30, 0)), 0, 1)</f>
        <v>0</v>
      </c>
      <c r="D86" s="18" t="s">
        <v>240</v>
      </c>
      <c r="E86" s="18" t="s">
        <v>331</v>
      </c>
      <c r="F86" s="19">
        <v>0.35416666666666669</v>
      </c>
      <c r="G86" s="19">
        <v>0.39583333333333337</v>
      </c>
      <c r="H86" s="18">
        <f>COUNTIF([1]!Table1[Course
Code],Table4[[#This Row],[Code]])</f>
        <v>1</v>
      </c>
    </row>
    <row r="87" spans="1:8" ht="23" hidden="1" customHeight="1" x14ac:dyDescent="0.25">
      <c r="A87" s="20" t="s">
        <v>316</v>
      </c>
      <c r="B87" s="18" t="s">
        <v>254</v>
      </c>
      <c r="C87" s="18">
        <f>IF(AND(Table4[[#This Row],[Start Time]]=TIME(10, 30, 0), Table4[[#This Row],[End Time]]=TIME(11, 30, 0)), 2, 3)</f>
        <v>2</v>
      </c>
      <c r="D87" s="22" t="s">
        <v>255</v>
      </c>
      <c r="E87" s="18" t="s">
        <v>327</v>
      </c>
      <c r="F87" s="19">
        <v>0.4375</v>
      </c>
      <c r="G87" s="19">
        <v>0.47916666666666669</v>
      </c>
      <c r="H87" s="18">
        <f>COUNTIF([1]!Table1[Course
Code],Table4[[#This Row],[Code]])</f>
        <v>1</v>
      </c>
    </row>
    <row r="88" spans="1:8" ht="23" hidden="1" customHeight="1" x14ac:dyDescent="0.25">
      <c r="A88" s="20" t="s">
        <v>316</v>
      </c>
      <c r="B88" s="18" t="s">
        <v>174</v>
      </c>
      <c r="C88" s="18">
        <f>IF(AND(Table4[[#This Row],[Start Time]]=TIME(10, 30, 0), Table4[[#This Row],[End Time]]=TIME(11, 30, 0)), 2, 3)</f>
        <v>2</v>
      </c>
      <c r="D88" s="13" t="s">
        <v>175</v>
      </c>
      <c r="E88" s="18" t="s">
        <v>313</v>
      </c>
      <c r="F88" s="19">
        <v>0.4375</v>
      </c>
      <c r="G88" s="19">
        <v>0.47916666666666669</v>
      </c>
      <c r="H88" s="18">
        <f>COUNTIF([1]!Table1[Course
Code],Table4[[#This Row],[Code]])</f>
        <v>1</v>
      </c>
    </row>
    <row r="89" spans="1:8" ht="23" hidden="1" customHeight="1" x14ac:dyDescent="0.25">
      <c r="A89" s="20" t="s">
        <v>316</v>
      </c>
      <c r="B89" s="18" t="s">
        <v>140</v>
      </c>
      <c r="C89" s="18">
        <f>IF(AND(Table4[[#This Row],[Start Time]]=TIME(8, 30, 0), Table4[[#This Row],[End Time]]=TIME(9, 30, 0)), 0, 1)</f>
        <v>0</v>
      </c>
      <c r="D89" s="13" t="s">
        <v>141</v>
      </c>
      <c r="E89" s="18" t="s">
        <v>320</v>
      </c>
      <c r="F89" s="19">
        <v>0.35416666666666669</v>
      </c>
      <c r="G89" s="19">
        <v>0.39583333333333337</v>
      </c>
      <c r="H89" s="18">
        <f>COUNTIF([1]!Table1[Course
Code],Table4[[#This Row],[Code]])</f>
        <v>1</v>
      </c>
    </row>
    <row r="90" spans="1:8" ht="23" hidden="1" customHeight="1" x14ac:dyDescent="0.25">
      <c r="A90" s="20" t="s">
        <v>316</v>
      </c>
      <c r="B90" s="18" t="s">
        <v>180</v>
      </c>
      <c r="C90" s="18">
        <v>2</v>
      </c>
      <c r="D90" s="13" t="s">
        <v>181</v>
      </c>
      <c r="E90" s="18" t="s">
        <v>333</v>
      </c>
      <c r="F90" s="19">
        <v>0.4375</v>
      </c>
      <c r="G90" s="19">
        <v>0.52083333333333337</v>
      </c>
      <c r="H90" s="18">
        <f>COUNTIF([1]!Table1[Course
Code],Table4[[#This Row],[Code]])</f>
        <v>1</v>
      </c>
    </row>
    <row r="91" spans="1:8" ht="23" hidden="1" customHeight="1" x14ac:dyDescent="0.25">
      <c r="A91" s="20" t="s">
        <v>316</v>
      </c>
      <c r="B91" s="18" t="s">
        <v>180</v>
      </c>
      <c r="C91" s="18">
        <v>3</v>
      </c>
      <c r="D91" s="13" t="s">
        <v>181</v>
      </c>
      <c r="E91" s="18" t="s">
        <v>333</v>
      </c>
      <c r="F91" s="19">
        <v>0.4375</v>
      </c>
      <c r="G91" s="19">
        <v>0.52083333333333337</v>
      </c>
      <c r="H91" s="18">
        <f>COUNTIF([1]!Table1[Course
Code],Table4[[#This Row],[Code]])</f>
        <v>1</v>
      </c>
    </row>
    <row r="92" spans="1:8" ht="23" hidden="1" customHeight="1" x14ac:dyDescent="0.25">
      <c r="A92" s="20" t="s">
        <v>316</v>
      </c>
      <c r="B92" s="18" t="s">
        <v>176</v>
      </c>
      <c r="C92" s="18">
        <f>IF(AND(Table4[[#This Row],[Start Time]]=TIME(8, 30, 0), Table4[[#This Row],[End Time]]=TIME(9, 30, 0)), 0, 1)</f>
        <v>0</v>
      </c>
      <c r="D92" s="13" t="s">
        <v>177</v>
      </c>
      <c r="E92" s="18" t="s">
        <v>323</v>
      </c>
      <c r="F92" s="19">
        <v>0.35416666666666669</v>
      </c>
      <c r="G92" s="19">
        <v>0.39583333333333337</v>
      </c>
      <c r="H92" s="18">
        <f>COUNTIF([1]!Table1[Course
Code],Table4[[#This Row],[Code]])</f>
        <v>1</v>
      </c>
    </row>
    <row r="93" spans="1:8" ht="23" hidden="1" customHeight="1" x14ac:dyDescent="0.25">
      <c r="A93" s="20" t="s">
        <v>316</v>
      </c>
      <c r="B93" s="19" t="s">
        <v>304</v>
      </c>
      <c r="C93" s="18">
        <f>IF(AND(Table4[[#This Row],[Start Time]]=TIME(15, 0, 0), Table4[[#This Row],[End Time]]=TIME(16, 0, 0)), 5, 6)</f>
        <v>5</v>
      </c>
      <c r="D93" s="21" t="s">
        <v>305</v>
      </c>
      <c r="E93" s="19" t="s">
        <v>332</v>
      </c>
      <c r="F93" s="19">
        <v>0.625</v>
      </c>
      <c r="G93" s="19">
        <v>0.66666666666666663</v>
      </c>
      <c r="H93" s="18">
        <f>COUNTIF([1]!Table1[Course
Code],Table4[[#This Row],[Code]])</f>
        <v>1</v>
      </c>
    </row>
    <row r="94" spans="1:8" ht="23" hidden="1" customHeight="1" x14ac:dyDescent="0.25">
      <c r="A94" s="20" t="s">
        <v>316</v>
      </c>
      <c r="B94" s="18" t="s">
        <v>248</v>
      </c>
      <c r="C94" s="18">
        <f>IF(AND(Table4[[#This Row],[Start Time]]=TIME(8, 30, 0), Table4[[#This Row],[End Time]]=TIME(9, 30, 0)), 0, 1)</f>
        <v>0</v>
      </c>
      <c r="D94" s="22" t="s">
        <v>249</v>
      </c>
      <c r="E94" s="18" t="s">
        <v>327</v>
      </c>
      <c r="F94" s="19">
        <v>0.35416666666666669</v>
      </c>
      <c r="G94" s="19">
        <v>0.39583333333333337</v>
      </c>
      <c r="H94" s="18">
        <f>COUNTIF([1]!Table1[Course
Code],Table4[[#This Row],[Code]])</f>
        <v>1</v>
      </c>
    </row>
    <row r="95" spans="1:8" ht="23" hidden="1" customHeight="1" x14ac:dyDescent="0.25">
      <c r="A95" s="20" t="s">
        <v>316</v>
      </c>
      <c r="B95" s="18" t="s">
        <v>271</v>
      </c>
      <c r="C95" s="18">
        <f>IF(AND(Table4[[#This Row],[Start Time]]=TIME(15, 0, 0), Table4[[#This Row],[End Time]]=TIME(16, 0, 0)), 5, 6)</f>
        <v>5</v>
      </c>
      <c r="D95" s="22" t="s">
        <v>272</v>
      </c>
      <c r="E95" s="18" t="s">
        <v>327</v>
      </c>
      <c r="F95" s="19">
        <v>0.625</v>
      </c>
      <c r="G95" s="19">
        <v>0.66666666666666663</v>
      </c>
      <c r="H95" s="18">
        <f>COUNTIF([1]!Table1[Course
Code],Table4[[#This Row],[Code]])</f>
        <v>1</v>
      </c>
    </row>
    <row r="96" spans="1:8" ht="23" hidden="1" customHeight="1" x14ac:dyDescent="0.25">
      <c r="A96" s="20" t="s">
        <v>316</v>
      </c>
      <c r="B96" s="18" t="s">
        <v>279</v>
      </c>
      <c r="C96" s="18">
        <f>IF(AND(Table4[[#This Row],[Start Time]]=TIME(16, 0, 0), Table4[[#This Row],[End Time]]=TIME(17, 0, 0)), 6, 7)</f>
        <v>6</v>
      </c>
      <c r="D96" s="22" t="s">
        <v>280</v>
      </c>
      <c r="E96" s="18" t="s">
        <v>327</v>
      </c>
      <c r="F96" s="19">
        <v>0.66666666666666663</v>
      </c>
      <c r="G96" s="19">
        <v>0.70833333333333326</v>
      </c>
      <c r="H96" s="18">
        <f>COUNTIF([1]!Table1[Course
Code],Table4[[#This Row],[Code]])</f>
        <v>1</v>
      </c>
    </row>
    <row r="97" spans="1:8" ht="23" hidden="1" customHeight="1" x14ac:dyDescent="0.25">
      <c r="A97" s="20" t="s">
        <v>316</v>
      </c>
      <c r="B97" s="18" t="s">
        <v>250</v>
      </c>
      <c r="C97" s="18">
        <f>IF(AND(Table4[[#This Row],[Start Time]]=TIME(14, 0, 0), Table4[[#This Row],[End Time]]=TIME(15, 0, 0)), 4, 5)</f>
        <v>4</v>
      </c>
      <c r="D97" s="22" t="s">
        <v>251</v>
      </c>
      <c r="E97" s="18" t="s">
        <v>325</v>
      </c>
      <c r="F97" s="19">
        <v>0.58333333333333337</v>
      </c>
      <c r="G97" s="19">
        <v>0.625</v>
      </c>
      <c r="H97" s="18">
        <f>COUNTIF([1]!Table1[Course
Code],Table4[[#This Row],[Code]])</f>
        <v>1</v>
      </c>
    </row>
    <row r="98" spans="1:8" ht="23" hidden="1" customHeight="1" x14ac:dyDescent="0.25">
      <c r="A98" s="20" t="s">
        <v>316</v>
      </c>
      <c r="B98" s="18" t="s">
        <v>283</v>
      </c>
      <c r="C98" s="18">
        <f>IF(AND(Table4[[#This Row],[Start Time]]=TIME(17, 0, 0), Table4[[#This Row],[End Time]]=TIME(18, 0, 0)), 7, 8)</f>
        <v>7</v>
      </c>
      <c r="D98" s="22" t="s">
        <v>284</v>
      </c>
      <c r="E98" s="18" t="s">
        <v>329</v>
      </c>
      <c r="F98" s="19">
        <v>0.70833333333333337</v>
      </c>
      <c r="G98" s="19">
        <v>0.75</v>
      </c>
      <c r="H98" s="18">
        <f>COUNTIF([1]!Table1[Course
Code],Table4[[#This Row],[Code]])</f>
        <v>1</v>
      </c>
    </row>
    <row r="99" spans="1:8" ht="23" hidden="1" customHeight="1" x14ac:dyDescent="0.25">
      <c r="A99" s="20" t="s">
        <v>316</v>
      </c>
      <c r="B99" s="19" t="s">
        <v>302</v>
      </c>
      <c r="C99" s="18">
        <f>IF(AND(Table4[[#This Row],[Start Time]]=TIME(8, 30, 0), Table4[[#This Row],[End Time]]=TIME(9, 30, 0)), 0, 1)</f>
        <v>0</v>
      </c>
      <c r="D99" s="21" t="s">
        <v>303</v>
      </c>
      <c r="E99" s="18" t="s">
        <v>325</v>
      </c>
      <c r="F99" s="19">
        <v>0.35416666666666669</v>
      </c>
      <c r="G99" s="19">
        <v>0.39583333333333337</v>
      </c>
      <c r="H99" s="18">
        <f>COUNTIF([1]!Table1[Course
Code],Table4[[#This Row],[Code]])</f>
        <v>1</v>
      </c>
    </row>
    <row r="100" spans="1:8" ht="23" hidden="1" customHeight="1" x14ac:dyDescent="0.25">
      <c r="A100" s="20" t="s">
        <v>316</v>
      </c>
      <c r="B100" s="18" t="s">
        <v>259</v>
      </c>
      <c r="C100" s="18">
        <f>IF(AND(Table4[[#This Row],[Start Time]]=TIME(9, 30, 0), Table4[[#This Row],[End Time]]=TIME(10, 30, 0)), 1, 2)</f>
        <v>1</v>
      </c>
      <c r="D100" s="22" t="s">
        <v>260</v>
      </c>
      <c r="E100" s="18" t="s">
        <v>324</v>
      </c>
      <c r="F100" s="19">
        <v>0.39583333333333331</v>
      </c>
      <c r="G100" s="19">
        <v>0.4375</v>
      </c>
      <c r="H100" s="18">
        <f>COUNTIF([1]!Table1[Course
Code],Table4[[#This Row],[Code]])</f>
        <v>1</v>
      </c>
    </row>
    <row r="101" spans="1:8" ht="23" hidden="1" customHeight="1" x14ac:dyDescent="0.25">
      <c r="A101" s="20" t="s">
        <v>316</v>
      </c>
      <c r="B101" s="18" t="s">
        <v>285</v>
      </c>
      <c r="C101" s="18">
        <f>IF(AND(Table4[[#This Row],[Start Time]]=TIME(17, 0, 0), Table4[[#This Row],[End Time]]=TIME(18, 0, 0)), 7, 8)</f>
        <v>7</v>
      </c>
      <c r="D101" s="22" t="s">
        <v>286</v>
      </c>
      <c r="E101" s="18" t="s">
        <v>325</v>
      </c>
      <c r="F101" s="19">
        <v>0.70833333333333337</v>
      </c>
      <c r="G101" s="19">
        <v>0.75</v>
      </c>
      <c r="H101" s="18">
        <f>COUNTIF([1]!Table1[Course
Code],Table4[[#This Row],[Code]])</f>
        <v>1</v>
      </c>
    </row>
    <row r="102" spans="1:8" ht="23" hidden="1" customHeight="1" x14ac:dyDescent="0.25">
      <c r="A102" s="20" t="s">
        <v>316</v>
      </c>
      <c r="B102" s="18" t="s">
        <v>277</v>
      </c>
      <c r="C102" s="18">
        <f>IF(AND(Table4[[#This Row],[Start Time]]=TIME(15, 0, 0), Table4[[#This Row],[End Time]]=TIME(16, 0, 0)), 5, 6)</f>
        <v>5</v>
      </c>
      <c r="D102" s="22" t="s">
        <v>278</v>
      </c>
      <c r="E102" s="18" t="s">
        <v>326</v>
      </c>
      <c r="F102" s="19">
        <v>0.625</v>
      </c>
      <c r="G102" s="19">
        <v>0.66666666666666663</v>
      </c>
      <c r="H102" s="18">
        <f>COUNTIF([1]!Table1[Course
Code],Table4[[#This Row],[Code]])</f>
        <v>1</v>
      </c>
    </row>
    <row r="103" spans="1:8" ht="23" hidden="1" customHeight="1" x14ac:dyDescent="0.25">
      <c r="A103" s="20" t="s">
        <v>316</v>
      </c>
      <c r="B103" s="19" t="s">
        <v>307</v>
      </c>
      <c r="C103" s="18">
        <f>IF(AND(Table4[[#This Row],[Start Time]]=TIME(15, 0, 0), Table4[[#This Row],[End Time]]=TIME(16, 0, 0)), 5, 6)</f>
        <v>5</v>
      </c>
      <c r="D103" s="21" t="s">
        <v>308</v>
      </c>
      <c r="E103" s="18" t="s">
        <v>330</v>
      </c>
      <c r="F103" s="19">
        <v>0.625</v>
      </c>
      <c r="G103" s="19">
        <v>0.66666666666666663</v>
      </c>
      <c r="H103" s="18">
        <f>COUNTIF([1]!Table1[Course
Code],Table4[[#This Row],[Code]])</f>
        <v>1</v>
      </c>
    </row>
    <row r="104" spans="1:8" ht="23" hidden="1" customHeight="1" x14ac:dyDescent="0.25">
      <c r="A104" s="20" t="s">
        <v>316</v>
      </c>
      <c r="B104" s="18" t="s">
        <v>227</v>
      </c>
      <c r="C104" s="18">
        <v>0</v>
      </c>
      <c r="D104" s="13" t="s">
        <v>228</v>
      </c>
      <c r="E104" s="18" t="s">
        <v>314</v>
      </c>
      <c r="F104" s="19">
        <v>0.35416666666666669</v>
      </c>
      <c r="G104" s="19">
        <v>0.4375</v>
      </c>
      <c r="H104" s="18">
        <f>COUNTIF([1]!Table1[Course
Code],Table4[[#This Row],[Code]])</f>
        <v>1</v>
      </c>
    </row>
    <row r="105" spans="1:8" ht="23" hidden="1" customHeight="1" x14ac:dyDescent="0.25">
      <c r="A105" s="20" t="s">
        <v>316</v>
      </c>
      <c r="B105" s="18" t="s">
        <v>227</v>
      </c>
      <c r="C105" s="18">
        <v>1</v>
      </c>
      <c r="D105" s="13" t="s">
        <v>228</v>
      </c>
      <c r="E105" s="18" t="s">
        <v>314</v>
      </c>
      <c r="F105" s="19">
        <v>0.35416666666666669</v>
      </c>
      <c r="G105" s="19">
        <v>0.4375</v>
      </c>
      <c r="H105" s="18">
        <f>COUNTIF([1]!Table1[Course
Code],Table4[[#This Row],[Code]])</f>
        <v>1</v>
      </c>
    </row>
    <row r="106" spans="1:8" ht="23" hidden="1" customHeight="1" x14ac:dyDescent="0.25">
      <c r="A106" s="20" t="s">
        <v>316</v>
      </c>
      <c r="B106" s="18" t="s">
        <v>126</v>
      </c>
      <c r="C106" s="18">
        <f>IF(AND(Table4[[#This Row],[Start Time]]=TIME(14, 0, 0), Table4[[#This Row],[End Time]]=TIME(15, 0, 0)), 4, 5)</f>
        <v>4</v>
      </c>
      <c r="D106" s="13" t="s">
        <v>128</v>
      </c>
      <c r="E106" s="18" t="s">
        <v>322</v>
      </c>
      <c r="F106" s="19">
        <v>0.58333333333333337</v>
      </c>
      <c r="G106" s="19">
        <v>0.625</v>
      </c>
      <c r="H106" s="18">
        <f>COUNTIF([1]!Table1[Course
Code],Table4[[#This Row],[Code]])</f>
        <v>1</v>
      </c>
    </row>
    <row r="107" spans="1:8" ht="23" hidden="1" customHeight="1" x14ac:dyDescent="0.25">
      <c r="A107" s="20" t="s">
        <v>316</v>
      </c>
      <c r="B107" s="18" t="s">
        <v>261</v>
      </c>
      <c r="C107" s="18">
        <f>IF(AND(Table4[[#This Row],[Start Time]]=TIME(9, 30, 0), Table4[[#This Row],[End Time]]=TIME(10, 30, 0)), 1, 2)</f>
        <v>1</v>
      </c>
      <c r="D107" s="18" t="s">
        <v>262</v>
      </c>
      <c r="E107" s="18" t="s">
        <v>323</v>
      </c>
      <c r="F107" s="19">
        <v>0.39583333333333331</v>
      </c>
      <c r="G107" s="19">
        <v>0.4375</v>
      </c>
      <c r="H107" s="18">
        <f>COUNTIF([1]!Table1[Course
Code],Table4[[#This Row],[Code]])</f>
        <v>1</v>
      </c>
    </row>
    <row r="108" spans="1:8" ht="23" hidden="1" customHeight="1" x14ac:dyDescent="0.25">
      <c r="A108" s="20" t="s">
        <v>316</v>
      </c>
      <c r="B108" s="18" t="s">
        <v>263</v>
      </c>
      <c r="C108" s="18">
        <f>IF(AND(Table4[[#This Row],[Start Time]]=TIME(9, 30, 0), Table4[[#This Row],[End Time]]=TIME(10, 30, 0)), 1, 2)</f>
        <v>1</v>
      </c>
      <c r="D108" s="22" t="s">
        <v>264</v>
      </c>
      <c r="E108" s="18" t="s">
        <v>326</v>
      </c>
      <c r="F108" s="19">
        <v>0.39583333333333331</v>
      </c>
      <c r="G108" s="19">
        <v>0.4375</v>
      </c>
      <c r="H108" s="18">
        <f>COUNTIF([1]!Table1[Course
Code],Table4[[#This Row],[Code]])</f>
        <v>1</v>
      </c>
    </row>
    <row r="109" spans="1:8" ht="23" hidden="1" customHeight="1" x14ac:dyDescent="0.25">
      <c r="A109" s="20" t="s">
        <v>316</v>
      </c>
      <c r="B109" s="18" t="s">
        <v>256</v>
      </c>
      <c r="C109" s="18">
        <f>IF(AND(Table4[[#This Row],[Start Time]]=TIME(9, 30, 0), Table4[[#This Row],[End Time]]=TIME(10, 30, 0)), 1, 2)</f>
        <v>1</v>
      </c>
      <c r="D109" s="18" t="s">
        <v>257</v>
      </c>
      <c r="E109" s="18" t="s">
        <v>329</v>
      </c>
      <c r="F109" s="19">
        <v>0.39583333333333331</v>
      </c>
      <c r="G109" s="19">
        <v>0.4375</v>
      </c>
      <c r="H109" s="18">
        <f>COUNTIF([1]!Table1[Course
Code],Table4[[#This Row],[Code]])</f>
        <v>1</v>
      </c>
    </row>
    <row r="110" spans="1:8" ht="23" hidden="1" customHeight="1" x14ac:dyDescent="0.25">
      <c r="A110" s="20" t="s">
        <v>316</v>
      </c>
      <c r="B110" s="18" t="s">
        <v>172</v>
      </c>
      <c r="C110" s="18">
        <f>IF(AND(Table4[[#This Row],[Start Time]]=TIME(11, 30, 0), Table4[[#This Row],[End Time]]=TIME(12, 30, 0)), 3, 4)</f>
        <v>3</v>
      </c>
      <c r="D110" s="13" t="s">
        <v>173</v>
      </c>
      <c r="E110" s="18" t="s">
        <v>313</v>
      </c>
      <c r="F110" s="19">
        <v>0.47916666666666669</v>
      </c>
      <c r="G110" s="19">
        <v>0.52083333333333337</v>
      </c>
      <c r="H110" s="18">
        <f>COUNTIF([1]!Table1[Course
Code],Table4[[#This Row],[Code]])</f>
        <v>1</v>
      </c>
    </row>
    <row r="111" spans="1:8" ht="23" hidden="1" customHeight="1" x14ac:dyDescent="0.25">
      <c r="A111" s="20" t="s">
        <v>316</v>
      </c>
      <c r="B111" s="18" t="s">
        <v>119</v>
      </c>
      <c r="C111" s="18">
        <f>IF(AND(Table4[[#This Row],[Start Time]]=TIME(10, 30, 0), Table4[[#This Row],[End Time]]=TIME(11, 30, 0)), 2, 3)</f>
        <v>2</v>
      </c>
      <c r="D111" s="13" t="s">
        <v>120</v>
      </c>
      <c r="E111" s="18" t="s">
        <v>311</v>
      </c>
      <c r="F111" s="19">
        <v>0.4375</v>
      </c>
      <c r="G111" s="19">
        <v>0.47916666666666669</v>
      </c>
      <c r="H111" s="18">
        <f>COUNTIF([1]!Table1[Course
Code],Table4[[#This Row],[Code]])</f>
        <v>1</v>
      </c>
    </row>
    <row r="112" spans="1:8" ht="23" hidden="1" customHeight="1" x14ac:dyDescent="0.25">
      <c r="A112" s="20" t="s">
        <v>316</v>
      </c>
      <c r="B112" s="18" t="s">
        <v>119</v>
      </c>
      <c r="C112" s="18">
        <f>IF(AND(Table4[[#This Row],[Start Time]]=TIME(11, 30, 0), Table4[[#This Row],[End Time]]=TIME(12, 30, 0)), 3, 4)</f>
        <v>3</v>
      </c>
      <c r="D112" s="13" t="s">
        <v>120</v>
      </c>
      <c r="E112" s="18" t="s">
        <v>311</v>
      </c>
      <c r="F112" s="19">
        <v>0.47916666666666669</v>
      </c>
      <c r="G112" s="19">
        <v>0.52083333333333337</v>
      </c>
      <c r="H112" s="18">
        <f>COUNTIF([1]!Table1[Course
Code],Table4[[#This Row],[Code]])</f>
        <v>1</v>
      </c>
    </row>
    <row r="113" spans="1:10" ht="23" hidden="1" customHeight="1" x14ac:dyDescent="0.25">
      <c r="A113" s="20" t="s">
        <v>316</v>
      </c>
      <c r="B113" s="18" t="s">
        <v>184</v>
      </c>
      <c r="C113" s="18">
        <f>IF(AND(Table4[[#This Row],[Start Time]]=TIME(9, 30, 0), Table4[[#This Row],[End Time]]=TIME(10, 30, 0)), 1, 2)</f>
        <v>1</v>
      </c>
      <c r="D113" s="13" t="s">
        <v>185</v>
      </c>
      <c r="E113" s="18" t="s">
        <v>320</v>
      </c>
      <c r="F113" s="19">
        <v>0.39583333333333331</v>
      </c>
      <c r="G113" s="19">
        <v>0.4375</v>
      </c>
      <c r="H113" s="18">
        <f>COUNTIF([1]!Table1[Course
Code],Table4[[#This Row],[Code]])</f>
        <v>1</v>
      </c>
    </row>
    <row r="114" spans="1:10" ht="23" hidden="1" customHeight="1" x14ac:dyDescent="0.25">
      <c r="A114" s="20" t="s">
        <v>316</v>
      </c>
      <c r="B114" s="18" t="s">
        <v>208</v>
      </c>
      <c r="C114" s="18">
        <f>IF(AND(Table4[[#This Row],[Start Time]]=TIME(16, 0, 0), Table4[[#This Row],[End Time]]=TIME(17, 0, 0)), 6, 7)</f>
        <v>6</v>
      </c>
      <c r="D114" s="13" t="s">
        <v>209</v>
      </c>
      <c r="E114" s="18" t="s">
        <v>325</v>
      </c>
      <c r="F114" s="19">
        <v>0.66666666666666663</v>
      </c>
      <c r="G114" s="19">
        <v>0.70833333333333326</v>
      </c>
      <c r="H114" s="18">
        <f>COUNTIF([1]!Table1[Course
Code],Table4[[#This Row],[Code]])</f>
        <v>1</v>
      </c>
    </row>
    <row r="115" spans="1:10" ht="23" hidden="1" customHeight="1" x14ac:dyDescent="0.25">
      <c r="A115" s="20" t="s">
        <v>316</v>
      </c>
      <c r="B115" s="18" t="s">
        <v>339</v>
      </c>
      <c r="C115" s="18">
        <v>1</v>
      </c>
      <c r="D115" s="13" t="s">
        <v>211</v>
      </c>
      <c r="E115" s="18" t="s">
        <v>333</v>
      </c>
      <c r="F115" s="19">
        <v>0.39583333333333331</v>
      </c>
      <c r="G115" s="19">
        <v>0.52083333333333337</v>
      </c>
      <c r="H115" s="18">
        <f>COUNTIF([1]!Table1[Course
Code],Table4[[#This Row],[Code]])</f>
        <v>1</v>
      </c>
      <c r="J115" s="16" t="s">
        <v>210</v>
      </c>
    </row>
    <row r="116" spans="1:10" ht="23" hidden="1" customHeight="1" x14ac:dyDescent="0.25">
      <c r="A116" s="20" t="s">
        <v>316</v>
      </c>
      <c r="B116" s="18" t="s">
        <v>339</v>
      </c>
      <c r="C116" s="18">
        <v>2</v>
      </c>
      <c r="D116" s="13" t="s">
        <v>211</v>
      </c>
      <c r="E116" s="18" t="s">
        <v>333</v>
      </c>
      <c r="F116" s="19">
        <v>0.39583333333333331</v>
      </c>
      <c r="G116" s="19">
        <v>0.52083333333333337</v>
      </c>
      <c r="H116" s="18">
        <f>COUNTIF([1]!Table1[Course
Code],Table4[[#This Row],[Code]])</f>
        <v>1</v>
      </c>
      <c r="J116" s="16" t="s">
        <v>210</v>
      </c>
    </row>
    <row r="117" spans="1:10" ht="23" hidden="1" customHeight="1" x14ac:dyDescent="0.25">
      <c r="A117" s="20" t="s">
        <v>316</v>
      </c>
      <c r="B117" s="18" t="s">
        <v>339</v>
      </c>
      <c r="C117" s="18">
        <v>3</v>
      </c>
      <c r="D117" s="13" t="s">
        <v>211</v>
      </c>
      <c r="E117" s="18" t="s">
        <v>333</v>
      </c>
      <c r="F117" s="19">
        <v>0.39583333333333331</v>
      </c>
      <c r="G117" s="19">
        <v>0.52083333333333337</v>
      </c>
      <c r="H117" s="18">
        <f>COUNTIF([1]!Table1[Course
Code],Table4[[#This Row],[Code]])</f>
        <v>1</v>
      </c>
      <c r="J117" s="16" t="s">
        <v>210</v>
      </c>
    </row>
    <row r="118" spans="1:10" ht="23" hidden="1" customHeight="1" x14ac:dyDescent="0.25">
      <c r="A118" s="20" t="s">
        <v>316</v>
      </c>
      <c r="B118" s="18" t="s">
        <v>287</v>
      </c>
      <c r="C118" s="18">
        <f>IF(AND(Table4[[#This Row],[Start Time]]=TIME(17, 0, 0), Table4[[#This Row],[End Time]]=TIME(18, 0, 0)), 7, 8)</f>
        <v>7</v>
      </c>
      <c r="D118" s="22" t="s">
        <v>288</v>
      </c>
      <c r="E118" s="18" t="s">
        <v>327</v>
      </c>
      <c r="F118" s="19">
        <v>0.70833333333333337</v>
      </c>
      <c r="G118" s="19">
        <v>0.75</v>
      </c>
      <c r="H118" s="18">
        <f>COUNTIF([1]!Table1[Course
Code],Table4[[#This Row],[Code]])</f>
        <v>1</v>
      </c>
    </row>
    <row r="119" spans="1:10" ht="23" hidden="1" customHeight="1" x14ac:dyDescent="0.25">
      <c r="A119" s="20" t="s">
        <v>316</v>
      </c>
      <c r="B119" s="18" t="s">
        <v>273</v>
      </c>
      <c r="C119" s="18">
        <f>IF(AND(Table4[[#This Row],[Start Time]]=TIME(15, 0, 0), Table4[[#This Row],[End Time]]=TIME(16, 0, 0)), 5, 6)</f>
        <v>5</v>
      </c>
      <c r="D119" s="18" t="s">
        <v>274</v>
      </c>
      <c r="E119" s="18" t="s">
        <v>325</v>
      </c>
      <c r="F119" s="19">
        <v>0.625</v>
      </c>
      <c r="G119" s="19">
        <v>0.66666666666666663</v>
      </c>
      <c r="H119" s="18">
        <f>COUNTIF([1]!Table1[Course
Code],Table4[[#This Row],[Code]])</f>
        <v>1</v>
      </c>
    </row>
    <row r="120" spans="1:10" ht="23" hidden="1" customHeight="1" x14ac:dyDescent="0.25">
      <c r="A120" s="20" t="s">
        <v>316</v>
      </c>
      <c r="B120" s="18" t="s">
        <v>245</v>
      </c>
      <c r="C120" s="18">
        <f>IF(AND(Table4[[#This Row],[Start Time]]=TIME(8, 30, 0), Table4[[#This Row],[End Time]]=TIME(9, 30, 0)), 0, 1)</f>
        <v>0</v>
      </c>
      <c r="D120" s="18" t="s">
        <v>246</v>
      </c>
      <c r="E120" s="18" t="s">
        <v>328</v>
      </c>
      <c r="F120" s="19">
        <v>0.35416666666666669</v>
      </c>
      <c r="G120" s="19">
        <v>0.39583333333333337</v>
      </c>
      <c r="H120" s="18">
        <f>COUNTIF([1]!Table1[Course
Code],Table4[[#This Row],[Code]])</f>
        <v>1</v>
      </c>
    </row>
    <row r="121" spans="1:10" ht="23" hidden="1" customHeight="1" x14ac:dyDescent="0.25">
      <c r="A121" s="20" t="s">
        <v>316</v>
      </c>
      <c r="B121" s="18" t="s">
        <v>275</v>
      </c>
      <c r="C121" s="18">
        <f>IF(AND(Table4[[#This Row],[Start Time]]=TIME(15, 0, 0), Table4[[#This Row],[End Time]]=TIME(16, 0, 0)), 5, 6)</f>
        <v>5</v>
      </c>
      <c r="D121" s="22" t="s">
        <v>276</v>
      </c>
      <c r="E121" s="18" t="s">
        <v>328</v>
      </c>
      <c r="F121" s="19">
        <v>0.625</v>
      </c>
      <c r="G121" s="19">
        <v>0.66666666666666663</v>
      </c>
      <c r="H121" s="18">
        <f>COUNTIF([1]!Table1[Course
Code],Table4[[#This Row],[Code]])</f>
        <v>1</v>
      </c>
    </row>
    <row r="122" spans="1:10" ht="23" hidden="1" customHeight="1" x14ac:dyDescent="0.25">
      <c r="A122" s="20" t="s">
        <v>316</v>
      </c>
      <c r="B122" s="18" t="s">
        <v>281</v>
      </c>
      <c r="C122" s="18">
        <f>IF(AND(Table4[[#This Row],[Start Time]]=TIME(16, 0, 0), Table4[[#This Row],[End Time]]=TIME(17, 0, 0)), 6, 7)</f>
        <v>6</v>
      </c>
      <c r="D122" s="22" t="s">
        <v>282</v>
      </c>
      <c r="E122" s="18" t="s">
        <v>328</v>
      </c>
      <c r="F122" s="19">
        <v>0.66666666666666663</v>
      </c>
      <c r="G122" s="19">
        <v>0.70833333333333326</v>
      </c>
      <c r="H122" s="18">
        <f>COUNTIF([1]!Table1[Course
Code],Table4[[#This Row],[Code]])</f>
        <v>1</v>
      </c>
    </row>
    <row r="123" spans="1:10" ht="23" hidden="1" customHeight="1" x14ac:dyDescent="0.25">
      <c r="A123" s="20" t="s">
        <v>316</v>
      </c>
      <c r="B123" s="18" t="s">
        <v>289</v>
      </c>
      <c r="C123" s="18">
        <f>IF(AND(Table4[[#This Row],[Start Time]]=TIME(17, 0, 0), Table4[[#This Row],[End Time]]=TIME(18, 0, 0)), 7, 8)</f>
        <v>7</v>
      </c>
      <c r="D123" s="22" t="s">
        <v>290</v>
      </c>
      <c r="E123" s="18" t="s">
        <v>328</v>
      </c>
      <c r="F123" s="19">
        <v>0.70833333333333337</v>
      </c>
      <c r="G123" s="19">
        <v>0.75</v>
      </c>
      <c r="H123" s="18">
        <f>COUNTIF([1]!Table1[Course
Code],Table4[[#This Row],[Code]])</f>
        <v>1</v>
      </c>
    </row>
    <row r="124" spans="1:10" ht="23" hidden="1" customHeight="1" x14ac:dyDescent="0.25">
      <c r="A124" s="20" t="s">
        <v>316</v>
      </c>
      <c r="B124" s="18" t="s">
        <v>121</v>
      </c>
      <c r="C124" s="18">
        <f>IF(AND(Table4[[#This Row],[Start Time]]=TIME(8, 30, 0), Table4[[#This Row],[End Time]]=TIME(9, 30, 0)), 0, 1)</f>
        <v>0</v>
      </c>
      <c r="D124" s="13" t="s">
        <v>122</v>
      </c>
      <c r="E124" s="18" t="s">
        <v>311</v>
      </c>
      <c r="F124" s="19">
        <v>0.35416666666666669</v>
      </c>
      <c r="G124" s="19">
        <v>0.39583333333333337</v>
      </c>
      <c r="H124" s="18">
        <f>COUNTIF([1]!Table1[Course
Code],Table4[[#This Row],[Code]])</f>
        <v>1</v>
      </c>
    </row>
    <row r="125" spans="1:10" ht="23" hidden="1" customHeight="1" x14ac:dyDescent="0.25">
      <c r="A125" s="20" t="s">
        <v>316</v>
      </c>
      <c r="B125" s="18" t="s">
        <v>229</v>
      </c>
      <c r="C125" s="18">
        <v>5</v>
      </c>
      <c r="D125" s="13" t="s">
        <v>230</v>
      </c>
      <c r="E125" s="18" t="s">
        <v>333</v>
      </c>
      <c r="F125" s="19">
        <v>0.625</v>
      </c>
      <c r="G125" s="19">
        <v>0.75</v>
      </c>
      <c r="H125" s="18">
        <f>COUNTIF([1]!Table1[Course
Code],Table4[[#This Row],[Code]])</f>
        <v>1</v>
      </c>
    </row>
    <row r="126" spans="1:10" ht="23" hidden="1" customHeight="1" x14ac:dyDescent="0.25">
      <c r="A126" s="20" t="s">
        <v>316</v>
      </c>
      <c r="B126" s="18" t="s">
        <v>229</v>
      </c>
      <c r="C126" s="18">
        <v>6</v>
      </c>
      <c r="D126" s="13" t="s">
        <v>230</v>
      </c>
      <c r="E126" s="18" t="s">
        <v>333</v>
      </c>
      <c r="F126" s="19">
        <v>0.625</v>
      </c>
      <c r="G126" s="19">
        <v>0.75</v>
      </c>
      <c r="H126" s="18">
        <f>COUNTIF([1]!Table1[Course
Code],Table4[[#This Row],[Code]])</f>
        <v>1</v>
      </c>
    </row>
    <row r="127" spans="1:10" ht="23" hidden="1" customHeight="1" x14ac:dyDescent="0.25">
      <c r="A127" s="20" t="s">
        <v>316</v>
      </c>
      <c r="B127" s="18" t="s">
        <v>229</v>
      </c>
      <c r="C127" s="18">
        <v>7</v>
      </c>
      <c r="D127" s="13" t="s">
        <v>230</v>
      </c>
      <c r="E127" s="18" t="s">
        <v>333</v>
      </c>
      <c r="F127" s="19">
        <v>0.625</v>
      </c>
      <c r="G127" s="19">
        <v>0.75</v>
      </c>
      <c r="H127" s="18">
        <f>COUNTIF([1]!Table1[Course
Code],Table4[[#This Row],[Code]])</f>
        <v>1</v>
      </c>
    </row>
    <row r="128" spans="1:10" ht="23" hidden="1" customHeight="1" x14ac:dyDescent="0.25">
      <c r="A128" s="20" t="s">
        <v>316</v>
      </c>
      <c r="B128" s="18" t="s">
        <v>188</v>
      </c>
      <c r="C128" s="18">
        <v>4</v>
      </c>
      <c r="D128" s="13" t="s">
        <v>189</v>
      </c>
      <c r="E128" s="18" t="s">
        <v>333</v>
      </c>
      <c r="F128" s="19">
        <v>0.58333333333333337</v>
      </c>
      <c r="G128" s="19">
        <v>0.70833333333333337</v>
      </c>
      <c r="H128" s="18">
        <f>COUNTIF([1]!Table1[Course
Code],Table4[[#This Row],[Code]])</f>
        <v>1</v>
      </c>
    </row>
    <row r="129" spans="1:8" ht="23" hidden="1" customHeight="1" x14ac:dyDescent="0.25">
      <c r="A129" s="20" t="s">
        <v>316</v>
      </c>
      <c r="B129" s="18" t="s">
        <v>188</v>
      </c>
      <c r="C129" s="18">
        <v>5</v>
      </c>
      <c r="D129" s="13" t="s">
        <v>189</v>
      </c>
      <c r="E129" s="18" t="s">
        <v>333</v>
      </c>
      <c r="F129" s="19">
        <v>0.58333333333333337</v>
      </c>
      <c r="G129" s="19">
        <v>0.70833333333333337</v>
      </c>
      <c r="H129" s="18">
        <f>COUNTIF([1]!Table1[Course
Code],Table4[[#This Row],[Code]])</f>
        <v>1</v>
      </c>
    </row>
    <row r="130" spans="1:8" ht="23" hidden="1" customHeight="1" x14ac:dyDescent="0.25">
      <c r="A130" s="20" t="s">
        <v>316</v>
      </c>
      <c r="B130" s="18" t="s">
        <v>188</v>
      </c>
      <c r="C130" s="18">
        <v>6</v>
      </c>
      <c r="D130" s="13" t="s">
        <v>189</v>
      </c>
      <c r="E130" s="18" t="s">
        <v>333</v>
      </c>
      <c r="F130" s="19">
        <v>0.58333333333333337</v>
      </c>
      <c r="G130" s="19">
        <v>0.70833333333333337</v>
      </c>
      <c r="H130" s="18">
        <f>COUNTIF([1]!Table1[Course
Code],Table4[[#This Row],[Code]])</f>
        <v>1</v>
      </c>
    </row>
    <row r="131" spans="1:8" ht="23" hidden="1" customHeight="1" x14ac:dyDescent="0.25">
      <c r="A131" s="20" t="s">
        <v>316</v>
      </c>
      <c r="B131" s="18" t="s">
        <v>192</v>
      </c>
      <c r="C131" s="18">
        <f>IF(AND(Table4[[#This Row],[Start Time]]=TIME(17, 0, 0), Table4[[#This Row],[End Time]]=TIME(18, 0, 0)), 7, 8)</f>
        <v>7</v>
      </c>
      <c r="D131" s="13" t="s">
        <v>193</v>
      </c>
      <c r="E131" s="18" t="s">
        <v>326</v>
      </c>
      <c r="F131" s="19">
        <v>0.70833333333333337</v>
      </c>
      <c r="G131" s="19">
        <v>0.75</v>
      </c>
      <c r="H131" s="18">
        <f>COUNTIF([1]!Table1[Course
Code],Table4[[#This Row],[Code]])</f>
        <v>1</v>
      </c>
    </row>
    <row r="132" spans="1:8" ht="23" hidden="1" customHeight="1" x14ac:dyDescent="0.25">
      <c r="A132" s="20" t="s">
        <v>316</v>
      </c>
      <c r="B132" s="18" t="s">
        <v>190</v>
      </c>
      <c r="C132" s="18">
        <f>IF(AND(Table4[[#This Row],[Start Time]]=TIME(9, 30, 0), Table4[[#This Row],[End Time]]=TIME(10, 30, 0)), 1, 2)</f>
        <v>1</v>
      </c>
      <c r="D132" s="13" t="s">
        <v>191</v>
      </c>
      <c r="E132" s="18" t="s">
        <v>327</v>
      </c>
      <c r="F132" s="19">
        <v>0.39583333333333331</v>
      </c>
      <c r="G132" s="19">
        <v>0.4375</v>
      </c>
      <c r="H132" s="18">
        <f>COUNTIF([1]!Table1[Course
Code],Table4[[#This Row],[Code]])</f>
        <v>1</v>
      </c>
    </row>
    <row r="133" spans="1:8" ht="23" hidden="1" customHeight="1" x14ac:dyDescent="0.25">
      <c r="A133" s="20" t="s">
        <v>317</v>
      </c>
      <c r="B133" s="18" t="s">
        <v>225</v>
      </c>
      <c r="C133" s="18">
        <f>IF(AND(Table4[[#This Row],[Start Time]]=TIME(10, 30, 0), Table4[[#This Row],[End Time]]=TIME(11, 30, 0)), 2, 3)</f>
        <v>2</v>
      </c>
      <c r="D133" s="13" t="s">
        <v>226</v>
      </c>
      <c r="E133" s="18" t="s">
        <v>322</v>
      </c>
      <c r="F133" s="19">
        <v>0.4375</v>
      </c>
      <c r="G133" s="19">
        <v>0.47916666666666669</v>
      </c>
      <c r="H133" s="18">
        <f>COUNTIF([1]!Table1[Course
Code],Table4[[#This Row],[Code]])</f>
        <v>1</v>
      </c>
    </row>
    <row r="134" spans="1:8" ht="23" hidden="1" customHeight="1" x14ac:dyDescent="0.25">
      <c r="A134" s="20" t="s">
        <v>317</v>
      </c>
      <c r="B134" s="18" t="s">
        <v>225</v>
      </c>
      <c r="C134" s="18">
        <f>IF(AND(Table4[[#This Row],[Start Time]]=TIME(10, 30, 0), Table4[[#This Row],[End Time]]=TIME(11, 30, 0)), 2, 3)</f>
        <v>2</v>
      </c>
      <c r="D134" s="13" t="s">
        <v>226</v>
      </c>
      <c r="E134" s="18" t="s">
        <v>314</v>
      </c>
      <c r="F134" s="19">
        <v>0.4375</v>
      </c>
      <c r="G134" s="19">
        <v>0.47916666666666669</v>
      </c>
      <c r="H134" s="18">
        <f>COUNTIF([1]!Table1[Course
Code],Table4[[#This Row],[Code]])</f>
        <v>1</v>
      </c>
    </row>
    <row r="135" spans="1:8" ht="23" hidden="1" customHeight="1" x14ac:dyDescent="0.25">
      <c r="A135" s="20" t="s">
        <v>317</v>
      </c>
      <c r="B135" s="18" t="s">
        <v>123</v>
      </c>
      <c r="C135" s="18">
        <f>IF(AND(Table4[[#This Row],[Start Time]]=TIME(14, 0, 0), Table4[[#This Row],[End Time]]=TIME(15, 0, 0)), 4, 5)</f>
        <v>4</v>
      </c>
      <c r="D135" s="13" t="s">
        <v>124</v>
      </c>
      <c r="E135" s="18" t="s">
        <v>313</v>
      </c>
      <c r="F135" s="19">
        <v>0.58333333333333337</v>
      </c>
      <c r="G135" s="19">
        <v>0.625</v>
      </c>
      <c r="H135" s="18">
        <f>COUNTIF([1]!Table1[Course
Code],Table4[[#This Row],[Code]])</f>
        <v>1</v>
      </c>
    </row>
    <row r="136" spans="1:8" ht="23" hidden="1" customHeight="1" x14ac:dyDescent="0.25">
      <c r="A136" s="20" t="s">
        <v>317</v>
      </c>
      <c r="B136" s="18" t="s">
        <v>149</v>
      </c>
      <c r="C136" s="18">
        <v>4</v>
      </c>
      <c r="D136" s="13" t="s">
        <v>150</v>
      </c>
      <c r="E136" s="18" t="s">
        <v>315</v>
      </c>
      <c r="F136" s="19">
        <v>0.58333333333333337</v>
      </c>
      <c r="G136" s="19">
        <v>0.66666666666666674</v>
      </c>
      <c r="H136" s="18">
        <f>COUNTIF([1]!Table1[Course
Code],Table4[[#This Row],[Code]])</f>
        <v>1</v>
      </c>
    </row>
    <row r="137" spans="1:8" ht="23" hidden="1" customHeight="1" x14ac:dyDescent="0.25">
      <c r="A137" s="20" t="s">
        <v>317</v>
      </c>
      <c r="B137" s="18" t="s">
        <v>149</v>
      </c>
      <c r="C137" s="18">
        <v>5</v>
      </c>
      <c r="D137" s="13" t="s">
        <v>150</v>
      </c>
      <c r="E137" s="18" t="s">
        <v>315</v>
      </c>
      <c r="F137" s="19">
        <v>0.58333333333333337</v>
      </c>
      <c r="G137" s="19">
        <v>0.66666666666666674</v>
      </c>
      <c r="H137" s="18">
        <f>COUNTIF([1]!Table1[Course
Code],Table4[[#This Row],[Code]])</f>
        <v>1</v>
      </c>
    </row>
    <row r="138" spans="1:8" ht="23" hidden="1" customHeight="1" x14ac:dyDescent="0.25">
      <c r="A138" s="20" t="s">
        <v>317</v>
      </c>
      <c r="B138" s="18" t="s">
        <v>151</v>
      </c>
      <c r="C138" s="18">
        <f>IF(AND(Table4[[#This Row],[Start Time]]=TIME(8, 30, 0), Table4[[#This Row],[End Time]]=TIME(9, 30, 0)), 0, 1)</f>
        <v>0</v>
      </c>
      <c r="D138" s="13" t="s">
        <v>152</v>
      </c>
      <c r="E138" s="18" t="s">
        <v>315</v>
      </c>
      <c r="F138" s="19">
        <v>0.35416666666666669</v>
      </c>
      <c r="G138" s="19">
        <v>0.39583333333333337</v>
      </c>
      <c r="H138" s="18">
        <f>COUNTIF([1]!Table1[Course
Code],Table4[[#This Row],[Code]])</f>
        <v>1</v>
      </c>
    </row>
    <row r="139" spans="1:8" ht="23" hidden="1" customHeight="1" x14ac:dyDescent="0.25">
      <c r="A139" s="20" t="s">
        <v>317</v>
      </c>
      <c r="B139" s="18" t="s">
        <v>116</v>
      </c>
      <c r="C139" s="18">
        <f>IF(AND(Table4[[#This Row],[Start Time]]=TIME(9, 30, 0), Table4[[#This Row],[End Time]]=TIME(10, 30, 0)), 1, 2)</f>
        <v>1</v>
      </c>
      <c r="D139" s="13" t="s">
        <v>117</v>
      </c>
      <c r="E139" s="18" t="s">
        <v>311</v>
      </c>
      <c r="F139" s="19">
        <v>0.39583333333333331</v>
      </c>
      <c r="G139" s="19">
        <v>0.4375</v>
      </c>
      <c r="H139" s="18">
        <f>COUNTIF([1]!Table1[Course
Code],Table4[[#This Row],[Code]])</f>
        <v>1</v>
      </c>
    </row>
    <row r="140" spans="1:8" ht="23" hidden="1" customHeight="1" x14ac:dyDescent="0.25">
      <c r="A140" s="20" t="s">
        <v>317</v>
      </c>
      <c r="B140" s="18" t="s">
        <v>133</v>
      </c>
      <c r="C140" s="18">
        <f>IF(AND(Table4[[#This Row],[Start Time]]=TIME(10, 30, 0), Table4[[#This Row],[End Time]]=TIME(11, 30, 0)), 2, 3)</f>
        <v>2</v>
      </c>
      <c r="D140" s="13" t="s">
        <v>135</v>
      </c>
      <c r="E140" s="18" t="s">
        <v>321</v>
      </c>
      <c r="F140" s="19">
        <v>0.4375</v>
      </c>
      <c r="G140" s="19">
        <v>0.47916666666666669</v>
      </c>
      <c r="H140" s="18">
        <f>COUNTIF([1]!Table1[Course
Code],Table4[[#This Row],[Code]])</f>
        <v>1</v>
      </c>
    </row>
    <row r="141" spans="1:8" ht="23" hidden="1" customHeight="1" x14ac:dyDescent="0.25">
      <c r="A141" s="20" t="s">
        <v>317</v>
      </c>
      <c r="B141" s="18" t="s">
        <v>136</v>
      </c>
      <c r="C141" s="18">
        <f>IF(AND(Table4[[#This Row],[Start Time]]=TIME(11, 30, 0), Table4[[#This Row],[End Time]]=TIME(12, 30, 0)), 3, 4)</f>
        <v>3</v>
      </c>
      <c r="D141" s="13" t="s">
        <v>137</v>
      </c>
      <c r="E141" s="18" t="s">
        <v>311</v>
      </c>
      <c r="F141" s="19">
        <v>0.47916666666666669</v>
      </c>
      <c r="G141" s="19">
        <v>0.52083333333333337</v>
      </c>
      <c r="H141" s="18">
        <f>COUNTIF([1]!Table1[Course
Code],Table4[[#This Row],[Code]])</f>
        <v>1</v>
      </c>
    </row>
    <row r="142" spans="1:8" ht="23" hidden="1" customHeight="1" x14ac:dyDescent="0.25">
      <c r="A142" s="20" t="s">
        <v>317</v>
      </c>
      <c r="B142" s="18" t="s">
        <v>222</v>
      </c>
      <c r="C142" s="18">
        <f>IF(AND(Table4[[#This Row],[Start Time]]=TIME(11, 30, 0), Table4[[#This Row],[End Time]]=TIME(12, 30, 0)), 3, 4)</f>
        <v>3</v>
      </c>
      <c r="D142" s="13" t="s">
        <v>223</v>
      </c>
      <c r="E142" s="18" t="s">
        <v>322</v>
      </c>
      <c r="F142" s="19">
        <v>0.47916666666666669</v>
      </c>
      <c r="G142" s="19">
        <v>0.52083333333333337</v>
      </c>
      <c r="H142" s="18">
        <f>COUNTIF([1]!Table1[Course
Code],Table4[[#This Row],[Code]])</f>
        <v>1</v>
      </c>
    </row>
    <row r="143" spans="1:8" ht="23" hidden="1" customHeight="1" x14ac:dyDescent="0.25">
      <c r="A143" s="20" t="s">
        <v>317</v>
      </c>
      <c r="B143" s="18" t="s">
        <v>222</v>
      </c>
      <c r="C143" s="18">
        <f>IF(AND(Table4[[#This Row],[Start Time]]=TIME(11, 30, 0), Table4[[#This Row],[End Time]]=TIME(12, 30, 0)), 3, 4)</f>
        <v>3</v>
      </c>
      <c r="D143" s="13" t="s">
        <v>223</v>
      </c>
      <c r="E143" s="18" t="s">
        <v>314</v>
      </c>
      <c r="F143" s="19">
        <v>0.47916666666666669</v>
      </c>
      <c r="G143" s="19">
        <v>0.52083333333333337</v>
      </c>
      <c r="H143" s="18">
        <f>COUNTIF([1]!Table1[Course
Code],Table4[[#This Row],[Code]])</f>
        <v>1</v>
      </c>
    </row>
    <row r="144" spans="1:8" ht="23" hidden="1" customHeight="1" x14ac:dyDescent="0.25">
      <c r="A144" s="20" t="s">
        <v>317</v>
      </c>
      <c r="B144" s="18" t="s">
        <v>156</v>
      </c>
      <c r="C144" s="18">
        <f>IF(AND(Table4[[#This Row],[Start Time]]=TIME(10, 30, 0), Table4[[#This Row],[End Time]]=TIME(11, 30, 0)), 2, 3)</f>
        <v>2</v>
      </c>
      <c r="D144" s="13" t="s">
        <v>157</v>
      </c>
      <c r="E144" s="18" t="s">
        <v>312</v>
      </c>
      <c r="F144" s="19">
        <v>0.4375</v>
      </c>
      <c r="G144" s="19">
        <v>0.47916666666666669</v>
      </c>
      <c r="H144" s="18">
        <f>COUNTIF([1]!Table1[Course
Code],Table4[[#This Row],[Code]])</f>
        <v>1</v>
      </c>
    </row>
    <row r="145" spans="1:8" ht="23" hidden="1" customHeight="1" x14ac:dyDescent="0.25">
      <c r="A145" s="20" t="s">
        <v>317</v>
      </c>
      <c r="B145" s="18" t="s">
        <v>153</v>
      </c>
      <c r="C145" s="18">
        <f>IF(AND(Table4[[#This Row],[Start Time]]=TIME(9, 30, 0), Table4[[#This Row],[End Time]]=TIME(10, 30, 0)), 1, 2)</f>
        <v>1</v>
      </c>
      <c r="D145" s="13" t="s">
        <v>154</v>
      </c>
      <c r="E145" s="18" t="s">
        <v>312</v>
      </c>
      <c r="F145" s="19">
        <v>0.39583333333333331</v>
      </c>
      <c r="G145" s="19">
        <v>0.4375</v>
      </c>
      <c r="H145" s="18">
        <f>COUNTIF([1]!Table1[Course
Code],Table4[[#This Row],[Code]])</f>
        <v>1</v>
      </c>
    </row>
    <row r="146" spans="1:8" ht="23" hidden="1" customHeight="1" x14ac:dyDescent="0.25">
      <c r="A146" s="20" t="s">
        <v>317</v>
      </c>
      <c r="B146" s="18" t="s">
        <v>158</v>
      </c>
      <c r="C146" s="18">
        <v>5</v>
      </c>
      <c r="D146" s="13" t="s">
        <v>159</v>
      </c>
      <c r="E146" s="18" t="s">
        <v>334</v>
      </c>
      <c r="F146" s="19">
        <v>0.625</v>
      </c>
      <c r="G146" s="19">
        <v>0.75</v>
      </c>
      <c r="H146" s="18">
        <f>COUNTIF([1]!Table1[Course
Code],Table4[[#This Row],[Code]])</f>
        <v>1</v>
      </c>
    </row>
    <row r="147" spans="1:8" ht="23" hidden="1" customHeight="1" x14ac:dyDescent="0.25">
      <c r="A147" s="20" t="s">
        <v>317</v>
      </c>
      <c r="B147" s="18" t="s">
        <v>158</v>
      </c>
      <c r="C147" s="18">
        <v>6</v>
      </c>
      <c r="D147" s="13" t="s">
        <v>159</v>
      </c>
      <c r="E147" s="18" t="s">
        <v>334</v>
      </c>
      <c r="F147" s="19">
        <v>0.625</v>
      </c>
      <c r="G147" s="19">
        <v>0.75</v>
      </c>
      <c r="H147" s="18">
        <f>COUNTIF([1]!Table1[Course
Code],Table4[[#This Row],[Code]])</f>
        <v>1</v>
      </c>
    </row>
    <row r="148" spans="1:8" ht="23" hidden="1" customHeight="1" x14ac:dyDescent="0.25">
      <c r="A148" s="20" t="s">
        <v>317</v>
      </c>
      <c r="B148" s="18" t="s">
        <v>158</v>
      </c>
      <c r="C148" s="18">
        <v>7</v>
      </c>
      <c r="D148" s="13" t="s">
        <v>159</v>
      </c>
      <c r="E148" s="18" t="s">
        <v>334</v>
      </c>
      <c r="F148" s="19">
        <v>0.625</v>
      </c>
      <c r="G148" s="19">
        <v>0.75</v>
      </c>
      <c r="H148" s="18">
        <f>COUNTIF([1]!Table1[Course
Code],Table4[[#This Row],[Code]])</f>
        <v>1</v>
      </c>
    </row>
    <row r="149" spans="1:8" ht="23" hidden="1" customHeight="1" x14ac:dyDescent="0.25">
      <c r="A149" s="20" t="s">
        <v>317</v>
      </c>
      <c r="B149" s="18" t="s">
        <v>162</v>
      </c>
      <c r="C149" s="18">
        <f>IF(AND(Table4[[#This Row],[Start Time]]=TIME(14, 0, 0), Table4[[#This Row],[End Time]]=TIME(15, 0, 0)), 4, 5)</f>
        <v>4</v>
      </c>
      <c r="D149" s="13" t="s">
        <v>163</v>
      </c>
      <c r="E149" s="18" t="s">
        <v>323</v>
      </c>
      <c r="F149" s="19">
        <v>0.58333333333333337</v>
      </c>
      <c r="G149" s="19">
        <v>0.625</v>
      </c>
      <c r="H149" s="18">
        <f>COUNTIF([1]!Table1[Course
Code],Table4[[#This Row],[Code]])</f>
        <v>1</v>
      </c>
    </row>
    <row r="150" spans="1:8" ht="23" customHeight="1" x14ac:dyDescent="0.25">
      <c r="A150" s="20" t="s">
        <v>317</v>
      </c>
      <c r="B150" s="18" t="s">
        <v>160</v>
      </c>
      <c r="C150" s="18">
        <f>IF(AND(Table4[[#This Row],[Start Time]]=TIME(8, 30, 0), Table4[[#This Row],[End Time]]=TIME(9, 30, 0)), 0, 1)</f>
        <v>0</v>
      </c>
      <c r="D150" s="13" t="s">
        <v>161</v>
      </c>
      <c r="E150" s="18" t="s">
        <v>323</v>
      </c>
      <c r="F150" s="19">
        <v>0.35416666666666669</v>
      </c>
      <c r="G150" s="19">
        <v>0.39583333333333331</v>
      </c>
      <c r="H150" s="18">
        <f>COUNTIF([1]!Table1[Course
Code],Table4[[#This Row],[Code]])</f>
        <v>1</v>
      </c>
    </row>
    <row r="151" spans="1:8" ht="23" hidden="1" customHeight="1" x14ac:dyDescent="0.25">
      <c r="A151" s="20" t="s">
        <v>317</v>
      </c>
      <c r="B151" s="18" t="s">
        <v>166</v>
      </c>
      <c r="C151" s="18">
        <v>1</v>
      </c>
      <c r="D151" s="13" t="s">
        <v>167</v>
      </c>
      <c r="E151" s="18" t="s">
        <v>333</v>
      </c>
      <c r="F151" s="19">
        <v>0.41666666666666669</v>
      </c>
      <c r="G151" s="19">
        <v>0.54166666666666663</v>
      </c>
      <c r="H151" s="18">
        <f>COUNTIF([1]!Table1[Course
Code],Table4[[#This Row],[Code]])</f>
        <v>1</v>
      </c>
    </row>
    <row r="152" spans="1:8" ht="23" hidden="1" customHeight="1" x14ac:dyDescent="0.25">
      <c r="A152" s="20" t="s">
        <v>317</v>
      </c>
      <c r="B152" s="18" t="s">
        <v>166</v>
      </c>
      <c r="C152" s="18">
        <v>2</v>
      </c>
      <c r="D152" s="13" t="s">
        <v>167</v>
      </c>
      <c r="E152" s="18" t="s">
        <v>333</v>
      </c>
      <c r="F152" s="19">
        <v>0.41666666666666669</v>
      </c>
      <c r="G152" s="19">
        <v>0.54166666666666663</v>
      </c>
      <c r="H152" s="18">
        <f>COUNTIF([1]!Table1[Course
Code],Table4[[#This Row],[Code]])</f>
        <v>1</v>
      </c>
    </row>
    <row r="153" spans="1:8" ht="23" hidden="1" customHeight="1" x14ac:dyDescent="0.25">
      <c r="A153" s="20" t="s">
        <v>317</v>
      </c>
      <c r="B153" s="18" t="s">
        <v>166</v>
      </c>
      <c r="C153" s="18">
        <v>3</v>
      </c>
      <c r="D153" s="13" t="s">
        <v>167</v>
      </c>
      <c r="E153" s="18" t="s">
        <v>333</v>
      </c>
      <c r="F153" s="19">
        <v>0.41666666666666669</v>
      </c>
      <c r="G153" s="19">
        <v>0.54166666666666663</v>
      </c>
      <c r="H153" s="18">
        <f>COUNTIF([1]!Table1[Course
Code],Table4[[#This Row],[Code]])</f>
        <v>1</v>
      </c>
    </row>
    <row r="154" spans="1:8" ht="23" hidden="1" customHeight="1" x14ac:dyDescent="0.25">
      <c r="A154" s="20" t="s">
        <v>317</v>
      </c>
      <c r="B154" s="18" t="s">
        <v>237</v>
      </c>
      <c r="C154" s="18">
        <f>IF(AND(Table4[[#This Row],[Start Time]]=TIME(10, 30, 0), Table4[[#This Row],[End Time]]=TIME(11, 30, 0)), 2, 3)</f>
        <v>2</v>
      </c>
      <c r="D154" s="22" t="s">
        <v>238</v>
      </c>
      <c r="E154" s="18" t="s">
        <v>326</v>
      </c>
      <c r="F154" s="19">
        <v>0.4375</v>
      </c>
      <c r="G154" s="19">
        <v>0.47916666666666669</v>
      </c>
      <c r="H154" s="18">
        <f>COUNTIF([1]!Table1[Course
Code],Table4[[#This Row],[Code]])</f>
        <v>1</v>
      </c>
    </row>
    <row r="155" spans="1:8" ht="23" hidden="1" customHeight="1" x14ac:dyDescent="0.25">
      <c r="A155" s="20" t="s">
        <v>317</v>
      </c>
      <c r="B155" s="18" t="s">
        <v>168</v>
      </c>
      <c r="C155" s="18">
        <f>IF(AND(Table4[[#This Row],[Start Time]]=TIME(9, 30, 0), Table4[[#This Row],[End Time]]=TIME(10, 30, 0)), 1, 2)</f>
        <v>1</v>
      </c>
      <c r="D155" s="13" t="s">
        <v>169</v>
      </c>
      <c r="E155" s="18" t="s">
        <v>313</v>
      </c>
      <c r="F155" s="19">
        <v>0.39583333333333331</v>
      </c>
      <c r="G155" s="19">
        <v>0.4375</v>
      </c>
      <c r="H155" s="18">
        <f>COUNTIF([1]!Table1[Course
Code],Table4[[#This Row],[Code]])</f>
        <v>1</v>
      </c>
    </row>
    <row r="156" spans="1:8" ht="23" hidden="1" customHeight="1" x14ac:dyDescent="0.25">
      <c r="A156" s="20" t="s">
        <v>317</v>
      </c>
      <c r="B156" s="18" t="s">
        <v>170</v>
      </c>
      <c r="C156" s="18">
        <f>IF(AND(Table4[[#This Row],[Start Time]]=TIME(10, 30, 0), Table4[[#This Row],[End Time]]=TIME(11, 30, 0)), 2, 3)</f>
        <v>2</v>
      </c>
      <c r="D156" s="13" t="s">
        <v>171</v>
      </c>
      <c r="E156" s="18" t="s">
        <v>313</v>
      </c>
      <c r="F156" s="19">
        <v>0.4375</v>
      </c>
      <c r="G156" s="19">
        <v>0.47916666666666669</v>
      </c>
      <c r="H156" s="18">
        <f>COUNTIF([1]!Table1[Course
Code],Table4[[#This Row],[Code]])</f>
        <v>1</v>
      </c>
    </row>
    <row r="157" spans="1:8" ht="23" hidden="1" customHeight="1" x14ac:dyDescent="0.25">
      <c r="A157" s="20" t="s">
        <v>317</v>
      </c>
      <c r="B157" s="18" t="s">
        <v>183</v>
      </c>
      <c r="C157" s="18">
        <v>1</v>
      </c>
      <c r="D157" s="13" t="s">
        <v>182</v>
      </c>
      <c r="E157" s="18" t="s">
        <v>333</v>
      </c>
      <c r="F157" s="19">
        <v>0.39583333333333331</v>
      </c>
      <c r="G157" s="19">
        <v>0.52083333333333337</v>
      </c>
      <c r="H157" s="18">
        <f>COUNTIF([1]!Table1[Course
Code],Table4[[#This Row],[Code]])</f>
        <v>1</v>
      </c>
    </row>
    <row r="158" spans="1:8" ht="23" hidden="1" customHeight="1" x14ac:dyDescent="0.25">
      <c r="A158" s="20" t="s">
        <v>317</v>
      </c>
      <c r="B158" s="18" t="s">
        <v>183</v>
      </c>
      <c r="C158" s="18">
        <v>2</v>
      </c>
      <c r="D158" s="13" t="s">
        <v>182</v>
      </c>
      <c r="E158" s="18" t="s">
        <v>333</v>
      </c>
      <c r="F158" s="19">
        <v>0.39583333333333331</v>
      </c>
      <c r="G158" s="19">
        <v>0.52083333333333337</v>
      </c>
      <c r="H158" s="18">
        <f>COUNTIF([1]!Table1[Course
Code],Table4[[#This Row],[Code]])</f>
        <v>1</v>
      </c>
    </row>
    <row r="159" spans="1:8" ht="23" hidden="1" customHeight="1" x14ac:dyDescent="0.25">
      <c r="A159" s="20" t="s">
        <v>317</v>
      </c>
      <c r="B159" s="18" t="s">
        <v>183</v>
      </c>
      <c r="C159" s="18">
        <v>3</v>
      </c>
      <c r="D159" s="13" t="s">
        <v>182</v>
      </c>
      <c r="E159" s="18" t="s">
        <v>333</v>
      </c>
      <c r="F159" s="19">
        <v>0.39583333333333331</v>
      </c>
      <c r="G159" s="19">
        <v>0.52083333333333337</v>
      </c>
      <c r="H159" s="18">
        <f>COUNTIF([1]!Table1[Course
Code],Table4[[#This Row],[Code]])</f>
        <v>1</v>
      </c>
    </row>
    <row r="160" spans="1:8" ht="23" hidden="1" customHeight="1" x14ac:dyDescent="0.25">
      <c r="A160" s="20" t="s">
        <v>317</v>
      </c>
      <c r="B160" s="19" t="s">
        <v>304</v>
      </c>
      <c r="C160" s="18">
        <f>IF(AND(Table4[[#This Row],[Start Time]]=TIME(14, 0, 0), Table4[[#This Row],[End Time]]=TIME(15, 0, 0)), 4, 5)</f>
        <v>4</v>
      </c>
      <c r="D160" s="15" t="s">
        <v>305</v>
      </c>
      <c r="E160" s="19" t="s">
        <v>332</v>
      </c>
      <c r="F160" s="19">
        <v>0.58333333333333337</v>
      </c>
      <c r="G160" s="19">
        <v>0.625</v>
      </c>
      <c r="H160" s="18">
        <f>COUNTIF([1]!Table1[Course
Code],Table4[[#This Row],[Code]])</f>
        <v>1</v>
      </c>
    </row>
    <row r="161" spans="1:8" ht="23" hidden="1" customHeight="1" x14ac:dyDescent="0.25">
      <c r="A161" s="20" t="s">
        <v>317</v>
      </c>
      <c r="B161" s="18" t="s">
        <v>271</v>
      </c>
      <c r="C161" s="18">
        <f>IF(AND(Table4[[#This Row],[Start Time]]=TIME(14, 0, 0), Table4[[#This Row],[End Time]]=TIME(15, 0, 0)), 4, 5)</f>
        <v>4</v>
      </c>
      <c r="D161" s="22" t="s">
        <v>272</v>
      </c>
      <c r="E161" s="18" t="s">
        <v>327</v>
      </c>
      <c r="F161" s="19">
        <v>0.58333333333333337</v>
      </c>
      <c r="G161" s="19">
        <v>0.625</v>
      </c>
      <c r="H161" s="18">
        <f>COUNTIF([1]!Table1[Course
Code],Table4[[#This Row],[Code]])</f>
        <v>1</v>
      </c>
    </row>
    <row r="162" spans="1:8" ht="23" hidden="1" customHeight="1" x14ac:dyDescent="0.25">
      <c r="A162" s="20" t="s">
        <v>317</v>
      </c>
      <c r="B162" s="18" t="s">
        <v>279</v>
      </c>
      <c r="C162" s="18">
        <f>IF(AND(Table4[[#This Row],[Start Time]]=TIME(17, 0, 0), Table4[[#This Row],[End Time]]=TIME(18, 0, 0)), 7, 8)</f>
        <v>7</v>
      </c>
      <c r="D162" s="22" t="s">
        <v>280</v>
      </c>
      <c r="E162" s="18" t="s">
        <v>327</v>
      </c>
      <c r="F162" s="19">
        <v>0.70833333333333337</v>
      </c>
      <c r="G162" s="19">
        <v>0.75</v>
      </c>
      <c r="H162" s="18">
        <f>COUNTIF([1]!Table1[Course
Code],Table4[[#This Row],[Code]])</f>
        <v>1</v>
      </c>
    </row>
    <row r="163" spans="1:8" ht="23" hidden="1" customHeight="1" x14ac:dyDescent="0.25">
      <c r="A163" s="20" t="s">
        <v>317</v>
      </c>
      <c r="B163" s="18" t="s">
        <v>231</v>
      </c>
      <c r="C163" s="18">
        <f>IF(AND(Table4[[#This Row],[Start Time]]=TIME(9, 30, 0), Table4[[#This Row],[End Time]]=TIME(10, 30, 0)), 1, 2)</f>
        <v>1</v>
      </c>
      <c r="D163" s="22" t="s">
        <v>232</v>
      </c>
      <c r="E163" s="18" t="s">
        <v>324</v>
      </c>
      <c r="F163" s="19">
        <v>0.39583333333333331</v>
      </c>
      <c r="G163" s="19">
        <v>0.4375</v>
      </c>
      <c r="H163" s="18">
        <f>COUNTIF([1]!Table1[Course
Code],Table4[[#This Row],[Code]])</f>
        <v>1</v>
      </c>
    </row>
    <row r="164" spans="1:8" ht="23" hidden="1" customHeight="1" x14ac:dyDescent="0.25">
      <c r="A164" s="20" t="s">
        <v>317</v>
      </c>
      <c r="B164" s="18" t="s">
        <v>283</v>
      </c>
      <c r="C164" s="18">
        <f>IF(AND(Table4[[#This Row],[Start Time]]=TIME(15, 0, 0), Table4[[#This Row],[End Time]]=TIME(16, 0, 0)), 5, 6)</f>
        <v>5</v>
      </c>
      <c r="D164" s="22" t="s">
        <v>284</v>
      </c>
      <c r="E164" s="18" t="s">
        <v>329</v>
      </c>
      <c r="F164" s="19">
        <v>0.625</v>
      </c>
      <c r="G164" s="19">
        <v>0.66666666666666663</v>
      </c>
      <c r="H164" s="18">
        <f>COUNTIF([1]!Table1[Course
Code],Table4[[#This Row],[Code]])</f>
        <v>1</v>
      </c>
    </row>
    <row r="165" spans="1:8" ht="23" hidden="1" customHeight="1" x14ac:dyDescent="0.25">
      <c r="A165" s="20" t="s">
        <v>317</v>
      </c>
      <c r="B165" s="18" t="s">
        <v>285</v>
      </c>
      <c r="C165" s="18">
        <f>IF(AND(Table4[[#This Row],[Start Time]]=TIME(15, 0, 0), Table4[[#This Row],[End Time]]=TIME(16, 0, 0)), 5, 6)</f>
        <v>5</v>
      </c>
      <c r="D165" s="14" t="s">
        <v>286</v>
      </c>
      <c r="E165" s="18" t="s">
        <v>325</v>
      </c>
      <c r="F165" s="19">
        <v>0.625</v>
      </c>
      <c r="G165" s="19">
        <v>0.66666666666666663</v>
      </c>
      <c r="H165" s="18">
        <f>COUNTIF([1]!Table1[Course
Code],Table4[[#This Row],[Code]])</f>
        <v>1</v>
      </c>
    </row>
    <row r="166" spans="1:8" ht="23" hidden="1" customHeight="1" x14ac:dyDescent="0.25">
      <c r="A166" s="20" t="s">
        <v>317</v>
      </c>
      <c r="B166" s="18" t="s">
        <v>277</v>
      </c>
      <c r="C166" s="18">
        <f>IF(AND(Table4[[#This Row],[Start Time]]=TIME(14, 0, 0), Table4[[#This Row],[End Time]]=TIME(15, 0, 0)), 4, 5)</f>
        <v>4</v>
      </c>
      <c r="D166" s="14" t="s">
        <v>278</v>
      </c>
      <c r="E166" s="18" t="s">
        <v>326</v>
      </c>
      <c r="F166" s="19">
        <v>0.58333333333333337</v>
      </c>
      <c r="G166" s="19">
        <v>0.625</v>
      </c>
      <c r="H166" s="18">
        <f>COUNTIF([1]!Table1[Course
Code],Table4[[#This Row],[Code]])</f>
        <v>1</v>
      </c>
    </row>
    <row r="167" spans="1:8" ht="23" hidden="1" customHeight="1" x14ac:dyDescent="0.25">
      <c r="A167" s="20" t="s">
        <v>317</v>
      </c>
      <c r="B167" s="18" t="s">
        <v>296</v>
      </c>
      <c r="C167" s="18">
        <f>IF(AND(Table4[[#This Row],[Start Time]]=TIME(8, 30, 0), Table4[[#This Row],[End Time]]=TIME(9, 30, 0)), 0, 1)</f>
        <v>0</v>
      </c>
      <c r="D167" s="14" t="s">
        <v>297</v>
      </c>
      <c r="E167" s="18" t="s">
        <v>324</v>
      </c>
      <c r="F167" s="19">
        <v>0.35416666666666669</v>
      </c>
      <c r="G167" s="19">
        <v>0.39583333333333337</v>
      </c>
      <c r="H167" s="18">
        <f>COUNTIF([1]!Table1[Course
Code],Table4[[#This Row],[Code]])</f>
        <v>1</v>
      </c>
    </row>
    <row r="168" spans="1:8" ht="23" hidden="1" customHeight="1" x14ac:dyDescent="0.25">
      <c r="A168" s="20" t="s">
        <v>317</v>
      </c>
      <c r="B168" s="19" t="s">
        <v>307</v>
      </c>
      <c r="C168" s="18">
        <f>IF(AND(Table4[[#This Row],[Start Time]]=TIME(14, 0, 0), Table4[[#This Row],[End Time]]=TIME(15, 0, 0)), 4, 5)</f>
        <v>4</v>
      </c>
      <c r="D168" s="15" t="s">
        <v>308</v>
      </c>
      <c r="E168" s="19" t="s">
        <v>330</v>
      </c>
      <c r="F168" s="19">
        <v>0.58333333333333337</v>
      </c>
      <c r="G168" s="19">
        <v>0.625</v>
      </c>
      <c r="H168" s="18">
        <f>COUNTIF([1]!Table1[Course
Code],Table4[[#This Row],[Code]])</f>
        <v>1</v>
      </c>
    </row>
    <row r="169" spans="1:8" ht="23" hidden="1" customHeight="1" x14ac:dyDescent="0.25">
      <c r="A169" s="20" t="s">
        <v>317</v>
      </c>
      <c r="B169" s="18" t="s">
        <v>269</v>
      </c>
      <c r="C169" s="18">
        <f>IF(AND(Table4[[#This Row],[Start Time]]=TIME(16, 0, 0), Table4[[#This Row],[End Time]]=TIME(17, 0, 0)), 6, 7)</f>
        <v>6</v>
      </c>
      <c r="D169" s="14" t="s">
        <v>270</v>
      </c>
      <c r="E169" s="18" t="s">
        <v>325</v>
      </c>
      <c r="F169" s="19">
        <v>0.66666666666666663</v>
      </c>
      <c r="G169" s="19">
        <v>0.70833333333333326</v>
      </c>
      <c r="H169" s="18">
        <f>COUNTIF([1]!Table1[Course
Code],Table4[[#This Row],[Code]])</f>
        <v>1</v>
      </c>
    </row>
    <row r="170" spans="1:8" ht="23" hidden="1" customHeight="1" x14ac:dyDescent="0.25">
      <c r="A170" s="20" t="s">
        <v>317</v>
      </c>
      <c r="B170" s="18" t="s">
        <v>220</v>
      </c>
      <c r="C170" s="18">
        <f>IF(AND(Table4[[#This Row],[Start Time]]=TIME(9, 30, 0), Table4[[#This Row],[End Time]]=TIME(10, 30, 0)), 1, 2)</f>
        <v>1</v>
      </c>
      <c r="D170" s="13" t="s">
        <v>221</v>
      </c>
      <c r="E170" s="18" t="s">
        <v>322</v>
      </c>
      <c r="F170" s="19">
        <v>0.39583333333333331</v>
      </c>
      <c r="G170" s="19">
        <v>0.4375</v>
      </c>
      <c r="H170" s="18">
        <f>COUNTIF([1]!Table1[Course
Code],Table4[[#This Row],[Code]])</f>
        <v>1</v>
      </c>
    </row>
    <row r="171" spans="1:8" ht="23" hidden="1" customHeight="1" x14ac:dyDescent="0.25">
      <c r="A171" s="20" t="s">
        <v>317</v>
      </c>
      <c r="B171" s="18" t="s">
        <v>172</v>
      </c>
      <c r="C171" s="18">
        <f>IF(AND(Table4[[#This Row],[Start Time]]=TIME(11, 30, 0), Table4[[#This Row],[End Time]]=TIME(12, 30, 0)), 3, 4)</f>
        <v>3</v>
      </c>
      <c r="D171" s="13" t="s">
        <v>173</v>
      </c>
      <c r="E171" s="18" t="s">
        <v>313</v>
      </c>
      <c r="F171" s="19">
        <v>0.47916666666666669</v>
      </c>
      <c r="G171" s="19">
        <v>0.52083333333333337</v>
      </c>
      <c r="H171" s="18">
        <f>COUNTIF([1]!Table1[Course
Code],Table4[[#This Row],[Code]])</f>
        <v>1</v>
      </c>
    </row>
    <row r="172" spans="1:8" ht="23" hidden="1" customHeight="1" x14ac:dyDescent="0.25">
      <c r="A172" s="20" t="s">
        <v>317</v>
      </c>
      <c r="B172" s="18" t="s">
        <v>119</v>
      </c>
      <c r="C172" s="18">
        <f>IF(AND(Table4[[#This Row],[Start Time]]=TIME(10, 30, 0), Table4[[#This Row],[End Time]]=TIME(11, 30, 0)), 2, 3)</f>
        <v>2</v>
      </c>
      <c r="D172" s="13" t="s">
        <v>120</v>
      </c>
      <c r="E172" s="18" t="s">
        <v>311</v>
      </c>
      <c r="F172" s="19">
        <v>0.4375</v>
      </c>
      <c r="G172" s="19">
        <v>0.47916666666666669</v>
      </c>
      <c r="H172" s="18">
        <f>COUNTIF([1]!Table1[Course
Code],Table4[[#This Row],[Code]])</f>
        <v>1</v>
      </c>
    </row>
    <row r="173" spans="1:8" ht="23" hidden="1" customHeight="1" x14ac:dyDescent="0.25">
      <c r="A173" s="20" t="s">
        <v>317</v>
      </c>
      <c r="B173" s="18" t="s">
        <v>138</v>
      </c>
      <c r="C173" s="18">
        <f>IF(AND(Table4[[#This Row],[Start Time]]=TIME(8, 30, 0), Table4[[#This Row],[End Time]]=TIME(9, 30, 0)), 0, 1)</f>
        <v>0</v>
      </c>
      <c r="D173" s="13" t="s">
        <v>139</v>
      </c>
      <c r="E173" s="18" t="s">
        <v>320</v>
      </c>
      <c r="F173" s="19">
        <v>0.35416666666666669</v>
      </c>
      <c r="G173" s="19">
        <v>0.39583333333333337</v>
      </c>
      <c r="H173" s="18">
        <f>COUNTIF([1]!Table1[Course
Code],Table4[[#This Row],[Code]])</f>
        <v>1</v>
      </c>
    </row>
    <row r="174" spans="1:8" ht="23" hidden="1" customHeight="1" x14ac:dyDescent="0.25">
      <c r="A174" s="20" t="s">
        <v>317</v>
      </c>
      <c r="B174" s="18" t="s">
        <v>131</v>
      </c>
      <c r="C174" s="18">
        <f>IF(AND(Table4[[#This Row],[Start Time]]=TIME(9, 30, 0), Table4[[#This Row],[End Time]]=TIME(10, 30, 0)), 1, 2)</f>
        <v>1</v>
      </c>
      <c r="D174" s="13" t="s">
        <v>57</v>
      </c>
      <c r="E174" s="18" t="s">
        <v>320</v>
      </c>
      <c r="F174" s="19">
        <v>0.39583333333333331</v>
      </c>
      <c r="G174" s="19">
        <v>0.4375</v>
      </c>
      <c r="H174" s="18">
        <f>COUNTIF([1]!Table1[Course
Code],Table4[[#This Row],[Code]])</f>
        <v>1</v>
      </c>
    </row>
    <row r="175" spans="1:8" ht="23" hidden="1" customHeight="1" x14ac:dyDescent="0.25">
      <c r="A175" s="20" t="s">
        <v>317</v>
      </c>
      <c r="B175" s="18" t="s">
        <v>196</v>
      </c>
      <c r="C175" s="18">
        <f>IF(AND(Table4[[#This Row],[Start Time]]=TIME(11, 30, 0), Table4[[#This Row],[End Time]]=TIME(12, 30, 0)), 3, 4)</f>
        <v>3</v>
      </c>
      <c r="D175" s="13" t="s">
        <v>197</v>
      </c>
      <c r="E175" s="18" t="s">
        <v>320</v>
      </c>
      <c r="F175" s="19">
        <v>0.47916666666666669</v>
      </c>
      <c r="G175" s="19">
        <v>0.52083333333333337</v>
      </c>
      <c r="H175" s="18">
        <f>COUNTIF([1]!Table1[Course
Code],Table4[[#This Row],[Code]])</f>
        <v>1</v>
      </c>
    </row>
    <row r="176" spans="1:8" ht="23" hidden="1" customHeight="1" x14ac:dyDescent="0.25">
      <c r="A176" s="20" t="s">
        <v>317</v>
      </c>
      <c r="B176" s="18" t="s">
        <v>184</v>
      </c>
      <c r="C176" s="18">
        <f>IF(AND(Table4[[#This Row],[Start Time]]=TIME(10, 30, 0), Table4[[#This Row],[End Time]]=TIME(11, 30, 0)), 2, 3)</f>
        <v>2</v>
      </c>
      <c r="D176" s="13" t="s">
        <v>185</v>
      </c>
      <c r="E176" s="18" t="s">
        <v>320</v>
      </c>
      <c r="F176" s="19">
        <v>0.4375</v>
      </c>
      <c r="G176" s="19">
        <v>0.47916666666666669</v>
      </c>
      <c r="H176" s="18">
        <f>COUNTIF([1]!Table1[Course
Code],Table4[[#This Row],[Code]])</f>
        <v>1</v>
      </c>
    </row>
    <row r="177" spans="1:10" ht="23" hidden="1" customHeight="1" x14ac:dyDescent="0.25">
      <c r="A177" s="20" t="s">
        <v>317</v>
      </c>
      <c r="B177" s="18" t="s">
        <v>208</v>
      </c>
      <c r="C177" s="18">
        <f>IF(AND(Table4[[#This Row],[Start Time]]=TIME(17, 0, 0), Table4[[#This Row],[End Time]]=TIME(18, 0, 0)), 7, 8)</f>
        <v>7</v>
      </c>
      <c r="D177" s="13" t="s">
        <v>209</v>
      </c>
      <c r="E177" s="18" t="s">
        <v>325</v>
      </c>
      <c r="F177" s="19">
        <v>0.70833333333333337</v>
      </c>
      <c r="G177" s="19">
        <v>0.75</v>
      </c>
      <c r="H177" s="18">
        <f>COUNTIF([1]!Table1[Course
Code],Table4[[#This Row],[Code]])</f>
        <v>1</v>
      </c>
    </row>
    <row r="178" spans="1:10" ht="23" hidden="1" customHeight="1" x14ac:dyDescent="0.25">
      <c r="A178" s="20" t="s">
        <v>317</v>
      </c>
      <c r="B178" s="18" t="s">
        <v>144</v>
      </c>
      <c r="C178" s="18">
        <f>IF(AND(Table4[[#This Row],[Start Time]]=TIME(10, 30, 0), Table4[[#This Row],[End Time]]=TIME(11, 30, 0)), 2, 3)</f>
        <v>2</v>
      </c>
      <c r="D178" s="13" t="s">
        <v>145</v>
      </c>
      <c r="E178" s="18" t="s">
        <v>315</v>
      </c>
      <c r="F178" s="19">
        <v>0.4375</v>
      </c>
      <c r="G178" s="19">
        <v>0.47916666666666669</v>
      </c>
      <c r="H178" s="18">
        <f>COUNTIF([1]!Table1[Course
Code],Table4[[#This Row],[Code]])</f>
        <v>1</v>
      </c>
    </row>
    <row r="179" spans="1:10" ht="23" hidden="1" customHeight="1" x14ac:dyDescent="0.25">
      <c r="A179" s="20" t="s">
        <v>317</v>
      </c>
      <c r="B179" s="18" t="s">
        <v>338</v>
      </c>
      <c r="C179" s="18">
        <f>IF(AND(Table4[[#This Row],[Start Time]]=TIME(9, 30, 0), Table4[[#This Row],[End Time]]=TIME(10, 30, 0)), 1, 2)</f>
        <v>1</v>
      </c>
      <c r="D179" s="13" t="s">
        <v>203</v>
      </c>
      <c r="E179" s="18" t="s">
        <v>325</v>
      </c>
      <c r="F179" s="19">
        <v>0.39583333333333331</v>
      </c>
      <c r="G179" s="19">
        <v>0.4375</v>
      </c>
      <c r="H179" s="18">
        <f>COUNTIF([1]!Table1[Course
Code],Table4[[#This Row],[Code]])</f>
        <v>1</v>
      </c>
      <c r="J179" s="17" t="s">
        <v>202</v>
      </c>
    </row>
    <row r="180" spans="1:10" ht="23" hidden="1" customHeight="1" x14ac:dyDescent="0.25">
      <c r="A180" s="20" t="s">
        <v>317</v>
      </c>
      <c r="B180" s="18" t="s">
        <v>204</v>
      </c>
      <c r="C180" s="18">
        <f>IF(AND(Table4[[#This Row],[Start Time]]=TIME(11, 30, 0), Table4[[#This Row],[End Time]]=TIME(12, 30, 0)), 3, 4)</f>
        <v>3</v>
      </c>
      <c r="D180" s="13" t="s">
        <v>205</v>
      </c>
      <c r="E180" s="18" t="s">
        <v>325</v>
      </c>
      <c r="F180" s="19">
        <v>0.47916666666666669</v>
      </c>
      <c r="G180" s="19">
        <v>0.52083333333333337</v>
      </c>
      <c r="H180" s="18">
        <f>COUNTIF([1]!Table1[Course
Code],Table4[[#This Row],[Code]])</f>
        <v>1</v>
      </c>
    </row>
    <row r="181" spans="1:10" ht="23" hidden="1" customHeight="1" x14ac:dyDescent="0.25">
      <c r="A181" s="20" t="s">
        <v>317</v>
      </c>
      <c r="B181" s="18" t="s">
        <v>206</v>
      </c>
      <c r="C181" s="18">
        <f>IF(AND(Table4[[#This Row],[Start Time]]=TIME(8, 30, 0), Table4[[#This Row],[End Time]]=TIME(9, 30, 0)), 0, 1)</f>
        <v>0</v>
      </c>
      <c r="D181" s="13" t="s">
        <v>207</v>
      </c>
      <c r="E181" s="18" t="s">
        <v>325</v>
      </c>
      <c r="F181" s="19">
        <v>0.35416666666666669</v>
      </c>
      <c r="G181" s="19">
        <v>0.39583333333333337</v>
      </c>
      <c r="H181" s="18">
        <f>COUNTIF([1]!Table1[Course
Code],Table4[[#This Row],[Code]])</f>
        <v>1</v>
      </c>
    </row>
    <row r="182" spans="1:10" ht="23" hidden="1" customHeight="1" x14ac:dyDescent="0.25">
      <c r="A182" s="20" t="s">
        <v>317</v>
      </c>
      <c r="B182" s="18" t="s">
        <v>287</v>
      </c>
      <c r="C182" s="18">
        <f>IF(AND(Table4[[#This Row],[Start Time]]=TIME(15, 0, 0), Table4[[#This Row],[End Time]]=TIME(16, 0, 0)), 5, 6)</f>
        <v>5</v>
      </c>
      <c r="D182" s="22" t="s">
        <v>288</v>
      </c>
      <c r="E182" s="18" t="s">
        <v>327</v>
      </c>
      <c r="F182" s="19">
        <v>0.625</v>
      </c>
      <c r="G182" s="19">
        <v>0.66666666666666663</v>
      </c>
      <c r="H182" s="18">
        <f>COUNTIF([1]!Table1[Course
Code],Table4[[#This Row],[Code]])</f>
        <v>1</v>
      </c>
    </row>
    <row r="183" spans="1:10" ht="23" hidden="1" customHeight="1" x14ac:dyDescent="0.25">
      <c r="A183" s="20" t="s">
        <v>317</v>
      </c>
      <c r="B183" s="18" t="s">
        <v>273</v>
      </c>
      <c r="C183" s="18">
        <f>IF(AND(Table4[[#This Row],[Start Time]]=TIME(14, 0, 0), Table4[[#This Row],[End Time]]=TIME(15, 0, 0)), 4, 5)</f>
        <v>4</v>
      </c>
      <c r="D183" s="13" t="s">
        <v>274</v>
      </c>
      <c r="E183" s="18" t="s">
        <v>325</v>
      </c>
      <c r="F183" s="19">
        <v>0.58333333333333337</v>
      </c>
      <c r="G183" s="19">
        <v>0.625</v>
      </c>
      <c r="H183" s="18">
        <f>COUNTIF([1]!Table1[Course
Code],Table4[[#This Row],[Code]])</f>
        <v>1</v>
      </c>
    </row>
    <row r="184" spans="1:10" ht="23" hidden="1" customHeight="1" x14ac:dyDescent="0.25">
      <c r="A184" s="20" t="s">
        <v>317</v>
      </c>
      <c r="B184" s="18" t="s">
        <v>265</v>
      </c>
      <c r="C184" s="18">
        <f>IF(AND(Table4[[#This Row],[Start Time]]=TIME(16, 0, 0), Table4[[#This Row],[End Time]]=TIME(17, 0, 0)), 6, 7)</f>
        <v>6</v>
      </c>
      <c r="D184" s="22" t="s">
        <v>266</v>
      </c>
      <c r="E184" s="18" t="s">
        <v>328</v>
      </c>
      <c r="F184" s="19">
        <v>0.66666666666666663</v>
      </c>
      <c r="G184" s="19">
        <v>0.70833333333333326</v>
      </c>
      <c r="H184" s="18">
        <f>COUNTIF([1]!Table1[Course
Code],Table4[[#This Row],[Code]])</f>
        <v>1</v>
      </c>
    </row>
    <row r="185" spans="1:10" ht="23" hidden="1" customHeight="1" x14ac:dyDescent="0.25">
      <c r="A185" s="20" t="s">
        <v>317</v>
      </c>
      <c r="B185" s="18" t="s">
        <v>275</v>
      </c>
      <c r="C185" s="18">
        <f>IF(AND(Table4[[#This Row],[Start Time]]=TIME(14, 0, 0), Table4[[#This Row],[End Time]]=TIME(15, 0, 0)), 4, 5)</f>
        <v>4</v>
      </c>
      <c r="D185" s="14" t="s">
        <v>276</v>
      </c>
      <c r="E185" s="18" t="s">
        <v>328</v>
      </c>
      <c r="F185" s="19">
        <v>0.58333333333333337</v>
      </c>
      <c r="G185" s="19">
        <v>0.625</v>
      </c>
      <c r="H185" s="18">
        <f>COUNTIF([1]!Table1[Course
Code],Table4[[#This Row],[Code]])</f>
        <v>1</v>
      </c>
    </row>
    <row r="186" spans="1:10" ht="23" hidden="1" customHeight="1" x14ac:dyDescent="0.25">
      <c r="A186" s="20" t="s">
        <v>317</v>
      </c>
      <c r="B186" s="18" t="s">
        <v>281</v>
      </c>
      <c r="C186" s="18">
        <f>IF(AND(Table4[[#This Row],[Start Time]]=TIME(17, 0, 0), Table4[[#This Row],[End Time]]=TIME(18, 0, 0)), 7, 8)</f>
        <v>7</v>
      </c>
      <c r="D186" s="14" t="s">
        <v>282</v>
      </c>
      <c r="E186" s="18" t="s">
        <v>328</v>
      </c>
      <c r="F186" s="19">
        <v>0.70833333333333337</v>
      </c>
      <c r="G186" s="19">
        <v>0.75</v>
      </c>
      <c r="H186" s="18">
        <f>COUNTIF([1]!Table1[Course
Code],Table4[[#This Row],[Code]])</f>
        <v>1</v>
      </c>
    </row>
    <row r="187" spans="1:10" ht="23" hidden="1" customHeight="1" x14ac:dyDescent="0.25">
      <c r="A187" s="20" t="s">
        <v>317</v>
      </c>
      <c r="B187" s="18" t="s">
        <v>289</v>
      </c>
      <c r="C187" s="18">
        <f>IF(AND(Table4[[#This Row],[Start Time]]=TIME(15, 0, 0), Table4[[#This Row],[End Time]]=TIME(16, 0, 0)), 5, 6)</f>
        <v>5</v>
      </c>
      <c r="D187" s="14" t="s">
        <v>290</v>
      </c>
      <c r="E187" s="18" t="s">
        <v>328</v>
      </c>
      <c r="F187" s="19">
        <v>0.625</v>
      </c>
      <c r="G187" s="19">
        <v>0.66666666666666663</v>
      </c>
      <c r="H187" s="18">
        <f>COUNTIF([1]!Table1[Course
Code],Table4[[#This Row],[Code]])</f>
        <v>1</v>
      </c>
    </row>
    <row r="188" spans="1:10" ht="23" hidden="1" customHeight="1" x14ac:dyDescent="0.25">
      <c r="A188" s="20" t="s">
        <v>317</v>
      </c>
      <c r="B188" s="18" t="s">
        <v>294</v>
      </c>
      <c r="C188" s="18">
        <f>IF(AND(Table4[[#This Row],[Start Time]]=TIME(8, 30, 0), Table4[[#This Row],[End Time]]=TIME(9, 30, 0)), 0, 1)</f>
        <v>0</v>
      </c>
      <c r="D188" s="22" t="s">
        <v>295</v>
      </c>
      <c r="E188" s="18" t="s">
        <v>328</v>
      </c>
      <c r="F188" s="19">
        <v>0.35416666666666669</v>
      </c>
      <c r="G188" s="19">
        <v>0.39583333333333337</v>
      </c>
      <c r="H188" s="18">
        <f>COUNTIF([1]!Table1[Course
Code],Table4[[#This Row],[Code]])</f>
        <v>1</v>
      </c>
    </row>
    <row r="189" spans="1:10" ht="23" hidden="1" customHeight="1" x14ac:dyDescent="0.25">
      <c r="A189" s="20" t="s">
        <v>317</v>
      </c>
      <c r="B189" s="18" t="s">
        <v>218</v>
      </c>
      <c r="C189" s="18">
        <f>IF(AND(Table4[[#This Row],[Start Time]]=TIME(8, 30, 0), Table4[[#This Row],[End Time]]=TIME(9, 30, 0)), 0, 1)</f>
        <v>0</v>
      </c>
      <c r="D189" s="13" t="s">
        <v>219</v>
      </c>
      <c r="E189" s="18" t="s">
        <v>322</v>
      </c>
      <c r="F189" s="19">
        <v>0.35416666666666669</v>
      </c>
      <c r="G189" s="19">
        <v>0.39583333333333337</v>
      </c>
      <c r="H189" s="18">
        <f>COUNTIF([1]!Table1[Course
Code],Table4[[#This Row],[Code]])</f>
        <v>1</v>
      </c>
    </row>
    <row r="190" spans="1:10" ht="23" hidden="1" customHeight="1" x14ac:dyDescent="0.25">
      <c r="A190" s="20" t="s">
        <v>317</v>
      </c>
      <c r="B190" s="18" t="s">
        <v>229</v>
      </c>
      <c r="C190" s="18">
        <v>4</v>
      </c>
      <c r="D190" s="13" t="s">
        <v>230</v>
      </c>
      <c r="E190" s="18" t="s">
        <v>333</v>
      </c>
      <c r="F190" s="19">
        <v>0.58333333333333337</v>
      </c>
      <c r="G190" s="19">
        <v>0.70833333333333337</v>
      </c>
      <c r="H190" s="18">
        <f>COUNTIF([1]!Table1[Course
Code],Table4[[#This Row],[Code]])</f>
        <v>1</v>
      </c>
    </row>
    <row r="191" spans="1:10" ht="23" hidden="1" customHeight="1" x14ac:dyDescent="0.25">
      <c r="A191" s="20" t="s">
        <v>317</v>
      </c>
      <c r="B191" s="18" t="s">
        <v>229</v>
      </c>
      <c r="C191" s="18">
        <v>5</v>
      </c>
      <c r="D191" s="13" t="s">
        <v>230</v>
      </c>
      <c r="E191" s="18" t="s">
        <v>333</v>
      </c>
      <c r="F191" s="19">
        <v>0.58333333333333337</v>
      </c>
      <c r="G191" s="19">
        <v>0.70833333333333337</v>
      </c>
      <c r="H191" s="18">
        <f>COUNTIF([1]!Table1[Course
Code],Table4[[#This Row],[Code]])</f>
        <v>1</v>
      </c>
    </row>
    <row r="192" spans="1:10" ht="23" hidden="1" customHeight="1" x14ac:dyDescent="0.25">
      <c r="A192" s="20" t="s">
        <v>317</v>
      </c>
      <c r="B192" s="18" t="s">
        <v>229</v>
      </c>
      <c r="C192" s="18">
        <v>6</v>
      </c>
      <c r="D192" s="13" t="s">
        <v>230</v>
      </c>
      <c r="E192" s="18" t="s">
        <v>333</v>
      </c>
      <c r="F192" s="19">
        <v>0.58333333333333337</v>
      </c>
      <c r="G192" s="19">
        <v>0.70833333333333337</v>
      </c>
      <c r="H192" s="18">
        <f>COUNTIF([1]!Table1[Course
Code],Table4[[#This Row],[Code]])</f>
        <v>1</v>
      </c>
    </row>
    <row r="193" spans="1:8" ht="23" hidden="1" customHeight="1" x14ac:dyDescent="0.25">
      <c r="A193" s="20" t="s">
        <v>317</v>
      </c>
      <c r="B193" s="18" t="s">
        <v>186</v>
      </c>
      <c r="C193" s="18">
        <f>IF(AND(Table4[[#This Row],[Start Time]]=TIME(11, 30, 0), Table4[[#This Row],[End Time]]=TIME(12, 30, 0)), 3, 4)</f>
        <v>3</v>
      </c>
      <c r="D193" s="13" t="s">
        <v>187</v>
      </c>
      <c r="E193" s="18" t="s">
        <v>315</v>
      </c>
      <c r="F193" s="19">
        <v>0.47916666666666669</v>
      </c>
      <c r="G193" s="19">
        <v>0.52083333333333337</v>
      </c>
      <c r="H193" s="18">
        <f>COUNTIF([1]!Table1[Course
Code],Table4[[#This Row],[Code]])</f>
        <v>1</v>
      </c>
    </row>
    <row r="194" spans="1:8" ht="23" hidden="1" customHeight="1" x14ac:dyDescent="0.25">
      <c r="A194" s="20" t="s">
        <v>317</v>
      </c>
      <c r="B194" s="18" t="s">
        <v>192</v>
      </c>
      <c r="C194" s="18">
        <f>IF(AND(Table4[[#This Row],[Start Time]]=TIME(15, 0, 0), Table4[[#This Row],[End Time]]=TIME(16, 0, 0)), 5, 6)</f>
        <v>5</v>
      </c>
      <c r="D194" s="13" t="s">
        <v>193</v>
      </c>
      <c r="E194" s="18" t="s">
        <v>326</v>
      </c>
      <c r="F194" s="19">
        <v>0.625</v>
      </c>
      <c r="G194" s="19">
        <v>0.66666666666666663</v>
      </c>
      <c r="H194" s="18">
        <f>COUNTIF([1]!Table1[Course
Code],Table4[[#This Row],[Code]])</f>
        <v>1</v>
      </c>
    </row>
    <row r="195" spans="1:8" ht="23" hidden="1" customHeight="1" x14ac:dyDescent="0.25">
      <c r="A195" s="20" t="s">
        <v>317</v>
      </c>
      <c r="B195" s="18" t="s">
        <v>267</v>
      </c>
      <c r="C195" s="18">
        <f>IF(AND(Table4[[#This Row],[Start Time]]=TIME(16, 0, 0), Table4[[#This Row],[End Time]]=TIME(17, 0, 0)), 6, 7)</f>
        <v>6</v>
      </c>
      <c r="D195" s="22" t="s">
        <v>268</v>
      </c>
      <c r="E195" s="18" t="s">
        <v>329</v>
      </c>
      <c r="F195" s="19">
        <v>0.66666666666666663</v>
      </c>
      <c r="G195" s="19">
        <v>0.70833333333333326</v>
      </c>
      <c r="H195" s="18">
        <f>COUNTIF([1]!Table1[Course
Code],Table4[[#This Row],[Code]])</f>
        <v>1</v>
      </c>
    </row>
    <row r="196" spans="1:8" ht="23" hidden="1" customHeight="1" x14ac:dyDescent="0.25">
      <c r="A196" s="20" t="s">
        <v>317</v>
      </c>
      <c r="B196" s="18" t="s">
        <v>234</v>
      </c>
      <c r="C196" s="18">
        <f>IF(AND(Table4[[#This Row],[Start Time]]=TIME(10, 30, 0), Table4[[#This Row],[End Time]]=TIME(11, 30, 0)), 2, 3)</f>
        <v>2</v>
      </c>
      <c r="D196" s="22" t="s">
        <v>235</v>
      </c>
      <c r="E196" s="18" t="s">
        <v>327</v>
      </c>
      <c r="F196" s="19">
        <v>0.4375</v>
      </c>
      <c r="G196" s="19">
        <v>0.47916666666666669</v>
      </c>
      <c r="H196" s="18">
        <f>COUNTIF([1]!Table1[Course
Code],Table4[[#This Row],[Code]])</f>
        <v>1</v>
      </c>
    </row>
    <row r="197" spans="1:8" ht="23" hidden="1" customHeight="1" x14ac:dyDescent="0.25">
      <c r="A197" s="20" t="s">
        <v>318</v>
      </c>
      <c r="B197" s="18" t="s">
        <v>123</v>
      </c>
      <c r="C197" s="18">
        <f>IF(AND(Table4[[#This Row],[Start Time]]=TIME(14, 0, 0), Table4[[#This Row],[End Time]]=TIME(15, 0, 0)), 4, 5)</f>
        <v>4</v>
      </c>
      <c r="D197" s="13" t="s">
        <v>124</v>
      </c>
      <c r="E197" s="18" t="s">
        <v>313</v>
      </c>
      <c r="F197" s="19">
        <v>0.58333333333333337</v>
      </c>
      <c r="G197" s="19">
        <v>0.625</v>
      </c>
      <c r="H197" s="18">
        <f>COUNTIF([1]!Table1[Course
Code],Table4[[#This Row],[Code]])</f>
        <v>1</v>
      </c>
    </row>
    <row r="198" spans="1:8" ht="23" hidden="1" customHeight="1" x14ac:dyDescent="0.25">
      <c r="A198" s="20" t="s">
        <v>318</v>
      </c>
      <c r="B198" s="18" t="s">
        <v>146</v>
      </c>
      <c r="C198" s="18">
        <f>IF(AND(Table4[[#This Row],[Start Time]]=TIME(11, 30, 0), Table4[[#This Row],[End Time]]=TIME(12, 30, 0)), 3, 4)</f>
        <v>3</v>
      </c>
      <c r="D198" s="13" t="s">
        <v>147</v>
      </c>
      <c r="E198" s="18" t="s">
        <v>315</v>
      </c>
      <c r="F198" s="19">
        <v>0.47916666666666669</v>
      </c>
      <c r="G198" s="19">
        <v>0.52083333333333337</v>
      </c>
      <c r="H198" s="18">
        <f>COUNTIF([1]!Table1[Course
Code],Table4[[#This Row],[Code]])</f>
        <v>1</v>
      </c>
    </row>
    <row r="199" spans="1:8" ht="23" hidden="1" customHeight="1" x14ac:dyDescent="0.25">
      <c r="A199" s="20" t="s">
        <v>318</v>
      </c>
      <c r="B199" s="18" t="s">
        <v>216</v>
      </c>
      <c r="C199" s="18">
        <f>IF(AND(Table4[[#This Row],[Start Time]]=TIME(10, 30, 0), Table4[[#This Row],[End Time]]=TIME(11, 30, 0)), 2, 3)</f>
        <v>2</v>
      </c>
      <c r="D199" s="13" t="s">
        <v>217</v>
      </c>
      <c r="E199" s="18" t="s">
        <v>322</v>
      </c>
      <c r="F199" s="19">
        <v>0.4375</v>
      </c>
      <c r="G199" s="19">
        <v>0.47916666666666669</v>
      </c>
      <c r="H199" s="18">
        <f>COUNTIF([1]!Table1[Course
Code],Table4[[#This Row],[Code]])</f>
        <v>1</v>
      </c>
    </row>
    <row r="200" spans="1:8" ht="23" hidden="1" customHeight="1" x14ac:dyDescent="0.25">
      <c r="A200" s="20" t="s">
        <v>318</v>
      </c>
      <c r="B200" s="18" t="s">
        <v>222</v>
      </c>
      <c r="C200" s="18">
        <v>4</v>
      </c>
      <c r="D200" s="13" t="s">
        <v>223</v>
      </c>
      <c r="E200" s="18" t="s">
        <v>334</v>
      </c>
      <c r="F200" s="19">
        <v>0.58333333333333337</v>
      </c>
      <c r="G200" s="19">
        <v>0.66666666666666663</v>
      </c>
      <c r="H200" s="18">
        <f>COUNTIF([1]!Table1[Course
Code],Table4[[#This Row],[Code]])</f>
        <v>1</v>
      </c>
    </row>
    <row r="201" spans="1:8" ht="23" hidden="1" customHeight="1" x14ac:dyDescent="0.25">
      <c r="A201" s="20" t="s">
        <v>318</v>
      </c>
      <c r="B201" s="18" t="s">
        <v>222</v>
      </c>
      <c r="C201" s="18">
        <v>5</v>
      </c>
      <c r="D201" s="13" t="s">
        <v>223</v>
      </c>
      <c r="E201" s="18" t="s">
        <v>334</v>
      </c>
      <c r="F201" s="19">
        <v>0.58333333333333337</v>
      </c>
      <c r="G201" s="19">
        <v>0.66666666666666663</v>
      </c>
      <c r="H201" s="18">
        <f>COUNTIF([1]!Table1[Course
Code],Table4[[#This Row],[Code]])</f>
        <v>1</v>
      </c>
    </row>
    <row r="202" spans="1:8" ht="23" hidden="1" customHeight="1" x14ac:dyDescent="0.25">
      <c r="A202" s="20" t="s">
        <v>318</v>
      </c>
      <c r="B202" s="18" t="s">
        <v>222</v>
      </c>
      <c r="C202" s="18">
        <v>6</v>
      </c>
      <c r="D202" s="13" t="s">
        <v>223</v>
      </c>
      <c r="E202" s="18" t="s">
        <v>334</v>
      </c>
      <c r="F202" s="19">
        <v>0.6875</v>
      </c>
      <c r="G202" s="19">
        <v>0.77083333333333337</v>
      </c>
      <c r="H202" s="18">
        <f>COUNTIF([1]!Table1[Course
Code],Table4[[#This Row],[Code]])</f>
        <v>1</v>
      </c>
    </row>
    <row r="203" spans="1:8" ht="23" hidden="1" customHeight="1" x14ac:dyDescent="0.25">
      <c r="A203" s="20" t="s">
        <v>318</v>
      </c>
      <c r="B203" s="18" t="s">
        <v>222</v>
      </c>
      <c r="C203" s="18">
        <v>7</v>
      </c>
      <c r="D203" s="13" t="s">
        <v>223</v>
      </c>
      <c r="E203" s="18" t="s">
        <v>334</v>
      </c>
      <c r="F203" s="19">
        <v>0.6875</v>
      </c>
      <c r="G203" s="19">
        <v>0.77083333333333337</v>
      </c>
      <c r="H203" s="18">
        <f>COUNTIF([1]!Table1[Course
Code],Table4[[#This Row],[Code]])</f>
        <v>1</v>
      </c>
    </row>
    <row r="204" spans="1:8" ht="23" hidden="1" customHeight="1" x14ac:dyDescent="0.25">
      <c r="A204" s="20" t="s">
        <v>318</v>
      </c>
      <c r="B204" s="18" t="s">
        <v>162</v>
      </c>
      <c r="C204" s="18">
        <f>IF(AND(Table4[[#This Row],[Start Time]]=TIME(17, 0, 0), Table4[[#This Row],[End Time]]=TIME(18, 0, 0)), 7, 8)</f>
        <v>7</v>
      </c>
      <c r="D204" s="13" t="s">
        <v>163</v>
      </c>
      <c r="E204" s="18" t="s">
        <v>323</v>
      </c>
      <c r="F204" s="19">
        <v>0.70833333333333337</v>
      </c>
      <c r="G204" s="19">
        <v>0.75</v>
      </c>
      <c r="H204" s="18">
        <f>COUNTIF([1]!Table1[Course
Code],Table4[[#This Row],[Code]])</f>
        <v>1</v>
      </c>
    </row>
    <row r="205" spans="1:8" ht="23" hidden="1" customHeight="1" x14ac:dyDescent="0.25">
      <c r="A205" s="20" t="s">
        <v>318</v>
      </c>
      <c r="B205" s="18" t="s">
        <v>252</v>
      </c>
      <c r="C205" s="18">
        <f>IF(AND(Table4[[#This Row],[Start Time]]=TIME(15, 0, 0), Table4[[#This Row],[End Time]]=TIME(16, 0, 0)), 5, 6)</f>
        <v>5</v>
      </c>
      <c r="D205" s="22" t="s">
        <v>253</v>
      </c>
      <c r="E205" s="18" t="s">
        <v>323</v>
      </c>
      <c r="F205" s="19">
        <v>0.625</v>
      </c>
      <c r="G205" s="19">
        <v>0.66666666666666663</v>
      </c>
      <c r="H205" s="18">
        <f>COUNTIF([1]!Table1[Course
Code],Table4[[#This Row],[Code]])</f>
        <v>1</v>
      </c>
    </row>
    <row r="206" spans="1:8" ht="23" hidden="1" customHeight="1" x14ac:dyDescent="0.25">
      <c r="A206" s="20" t="s">
        <v>318</v>
      </c>
      <c r="B206" s="18" t="s">
        <v>291</v>
      </c>
      <c r="C206" s="18">
        <f>IF(AND(Table4[[#This Row],[Start Time]]=TIME(11, 30, 0), Table4[[#This Row],[End Time]]=TIME(12, 30, 0)), 3, 4)</f>
        <v>3</v>
      </c>
      <c r="D206" s="22" t="s">
        <v>292</v>
      </c>
      <c r="E206" s="18" t="s">
        <v>330</v>
      </c>
      <c r="F206" s="19">
        <v>0.47916666666666669</v>
      </c>
      <c r="G206" s="19">
        <v>0.52083333333333337</v>
      </c>
      <c r="H206" s="18">
        <f>COUNTIF([1]!Table1[Course
Code],Table4[[#This Row],[Code]])</f>
        <v>1</v>
      </c>
    </row>
    <row r="207" spans="1:8" ht="23" hidden="1" customHeight="1" x14ac:dyDescent="0.25">
      <c r="A207" s="20" t="s">
        <v>318</v>
      </c>
      <c r="B207" s="18" t="s">
        <v>239</v>
      </c>
      <c r="C207" s="18">
        <f>IF(AND(Table4[[#This Row],[Start Time]]=TIME(11, 30, 0), Table4[[#This Row],[End Time]]=TIME(12, 30, 0)), 3, 4)</f>
        <v>3</v>
      </c>
      <c r="D207" s="18" t="s">
        <v>240</v>
      </c>
      <c r="E207" s="18" t="s">
        <v>331</v>
      </c>
      <c r="F207" s="19">
        <v>0.47916666666666669</v>
      </c>
      <c r="G207" s="19">
        <v>0.52083333333333337</v>
      </c>
      <c r="H207" s="18">
        <f>COUNTIF([1]!Table1[Course
Code],Table4[[#This Row],[Code]])</f>
        <v>1</v>
      </c>
    </row>
    <row r="208" spans="1:8" ht="23" hidden="1" customHeight="1" x14ac:dyDescent="0.25">
      <c r="A208" s="20" t="s">
        <v>318</v>
      </c>
      <c r="B208" s="18" t="s">
        <v>254</v>
      </c>
      <c r="C208" s="18">
        <f>IF(AND(Table4[[#This Row],[Start Time]]=TIME(9, 30, 0), Table4[[#This Row],[End Time]]=TIME(10, 30, 0)), 1, 2)</f>
        <v>1</v>
      </c>
      <c r="D208" s="22" t="s">
        <v>255</v>
      </c>
      <c r="E208" s="18" t="s">
        <v>327</v>
      </c>
      <c r="F208" s="19">
        <v>0.39583333333333331</v>
      </c>
      <c r="G208" s="19">
        <v>0.4375</v>
      </c>
      <c r="H208" s="18">
        <f>COUNTIF([1]!Table1[Course
Code],Table4[[#This Row],[Code]])</f>
        <v>1</v>
      </c>
    </row>
    <row r="209" spans="1:8" ht="23" hidden="1" customHeight="1" x14ac:dyDescent="0.25">
      <c r="A209" s="20" t="s">
        <v>318</v>
      </c>
      <c r="B209" s="18" t="s">
        <v>174</v>
      </c>
      <c r="C209" s="18">
        <f>IF(AND(Table4[[#This Row],[Start Time]]=TIME(9, 30, 0), Table4[[#This Row],[End Time]]=TIME(10, 30, 0)), 1, 2)</f>
        <v>1</v>
      </c>
      <c r="D209" s="13" t="s">
        <v>175</v>
      </c>
      <c r="E209" s="18" t="s">
        <v>313</v>
      </c>
      <c r="F209" s="19">
        <v>0.39583333333333331</v>
      </c>
      <c r="G209" s="19">
        <v>0.4375</v>
      </c>
      <c r="H209" s="18">
        <f>COUNTIF([1]!Table1[Course
Code],Table4[[#This Row],[Code]])</f>
        <v>1</v>
      </c>
    </row>
    <row r="210" spans="1:8" ht="23" hidden="1" customHeight="1" x14ac:dyDescent="0.25">
      <c r="A210" s="20" t="s">
        <v>318</v>
      </c>
      <c r="B210" s="18" t="s">
        <v>140</v>
      </c>
      <c r="C210" s="18">
        <f>IF(AND(Table4[[#This Row],[Start Time]]=TIME(11, 30, 0), Table4[[#This Row],[End Time]]=TIME(12, 30, 0)), 3, 4)</f>
        <v>3</v>
      </c>
      <c r="D210" s="13" t="s">
        <v>141</v>
      </c>
      <c r="E210" s="18" t="s">
        <v>320</v>
      </c>
      <c r="F210" s="19">
        <v>0.47916666666666669</v>
      </c>
      <c r="G210" s="19">
        <v>0.52083333333333337</v>
      </c>
      <c r="H210" s="18">
        <f>COUNTIF([1]!Table1[Course
Code],Table4[[#This Row],[Code]])</f>
        <v>1</v>
      </c>
    </row>
    <row r="211" spans="1:8" ht="23" hidden="1" customHeight="1" x14ac:dyDescent="0.25">
      <c r="A211" s="20" t="s">
        <v>318</v>
      </c>
      <c r="B211" s="18" t="s">
        <v>176</v>
      </c>
      <c r="C211" s="18">
        <f>IF(AND(Table4[[#This Row],[Start Time]]=TIME(11, 30, 0), Table4[[#This Row],[End Time]]=TIME(12, 30, 0)), 3, 4)</f>
        <v>3</v>
      </c>
      <c r="D211" s="13" t="s">
        <v>177</v>
      </c>
      <c r="E211" s="18" t="s">
        <v>323</v>
      </c>
      <c r="F211" s="19">
        <v>0.47916666666666669</v>
      </c>
      <c r="G211" s="19">
        <v>0.52083333333333337</v>
      </c>
      <c r="H211" s="18">
        <f>COUNTIF([1]!Table1[Course
Code],Table4[[#This Row],[Code]])</f>
        <v>1</v>
      </c>
    </row>
    <row r="212" spans="1:8" ht="23" hidden="1" customHeight="1" x14ac:dyDescent="0.25">
      <c r="A212" s="20" t="s">
        <v>318</v>
      </c>
      <c r="B212" s="19" t="s">
        <v>304</v>
      </c>
      <c r="C212" s="18">
        <f>IF(AND(Table4[[#This Row],[Start Time]]=TIME(17, 0, 0), Table4[[#This Row],[End Time]]=TIME(18, 0, 0)), 7, 8)</f>
        <v>7</v>
      </c>
      <c r="D212" s="15" t="s">
        <v>305</v>
      </c>
      <c r="E212" s="19" t="s">
        <v>332</v>
      </c>
      <c r="F212" s="19">
        <v>0.70833333333333337</v>
      </c>
      <c r="G212" s="19">
        <v>0.75</v>
      </c>
      <c r="H212" s="18">
        <f>COUNTIF([1]!Table1[Course
Code],Table4[[#This Row],[Code]])</f>
        <v>1</v>
      </c>
    </row>
    <row r="213" spans="1:8" ht="23" hidden="1" customHeight="1" x14ac:dyDescent="0.25">
      <c r="A213" s="20" t="s">
        <v>318</v>
      </c>
      <c r="B213" s="18" t="s">
        <v>248</v>
      </c>
      <c r="C213" s="18">
        <f>IF(AND(Table4[[#This Row],[Start Time]]=TIME(11, 30, 0), Table4[[#This Row],[End Time]]=TIME(12, 30, 0)), 3, 4)</f>
        <v>3</v>
      </c>
      <c r="D213" s="22" t="s">
        <v>249</v>
      </c>
      <c r="E213" s="18" t="s">
        <v>327</v>
      </c>
      <c r="F213" s="19">
        <v>0.47916666666666669</v>
      </c>
      <c r="G213" s="19">
        <v>0.52083333333333337</v>
      </c>
      <c r="H213" s="18">
        <f>COUNTIF([1]!Table1[Course
Code],Table4[[#This Row],[Code]])</f>
        <v>1</v>
      </c>
    </row>
    <row r="214" spans="1:8" ht="23" hidden="1" customHeight="1" x14ac:dyDescent="0.25">
      <c r="A214" s="20" t="s">
        <v>318</v>
      </c>
      <c r="B214" s="18" t="s">
        <v>271</v>
      </c>
      <c r="C214" s="18">
        <f>IF(AND(Table4[[#This Row],[Start Time]]=TIME(17, 0, 0), Table4[[#This Row],[End Time]]=TIME(18, 0, 0)), 7, 8)</f>
        <v>7</v>
      </c>
      <c r="D214" s="22" t="s">
        <v>272</v>
      </c>
      <c r="E214" s="18" t="s">
        <v>327</v>
      </c>
      <c r="F214" s="19">
        <v>0.70833333333333337</v>
      </c>
      <c r="G214" s="19">
        <v>0.75</v>
      </c>
      <c r="H214" s="18">
        <f>COUNTIF([1]!Table1[Course
Code],Table4[[#This Row],[Code]])</f>
        <v>1</v>
      </c>
    </row>
    <row r="215" spans="1:8" ht="23" hidden="1" customHeight="1" x14ac:dyDescent="0.25">
      <c r="A215" s="20" t="s">
        <v>318</v>
      </c>
      <c r="B215" s="18" t="s">
        <v>279</v>
      </c>
      <c r="C215" s="18">
        <f>IF(AND(Table4[[#This Row],[Start Time]]=TIME(14, 0, 0), Table4[[#This Row],[End Time]]=TIME(15, 0, 0)), 4, 5)</f>
        <v>4</v>
      </c>
      <c r="D215" s="22" t="s">
        <v>280</v>
      </c>
      <c r="E215" s="18" t="s">
        <v>327</v>
      </c>
      <c r="F215" s="19">
        <v>0.58333333333333337</v>
      </c>
      <c r="G215" s="19">
        <v>0.625</v>
      </c>
      <c r="H215" s="18">
        <f>COUNTIF([1]!Table1[Course
Code],Table4[[#This Row],[Code]])</f>
        <v>1</v>
      </c>
    </row>
    <row r="216" spans="1:8" ht="23" hidden="1" customHeight="1" x14ac:dyDescent="0.25">
      <c r="A216" s="20" t="s">
        <v>318</v>
      </c>
      <c r="B216" s="18" t="s">
        <v>250</v>
      </c>
      <c r="C216" s="18">
        <f>IF(AND(Table4[[#This Row],[Start Time]]=TIME(15, 0, 0), Table4[[#This Row],[End Time]]=TIME(16, 0, 0)), 5, 6)</f>
        <v>5</v>
      </c>
      <c r="D216" s="22" t="s">
        <v>251</v>
      </c>
      <c r="E216" s="18" t="s">
        <v>325</v>
      </c>
      <c r="F216" s="19">
        <v>0.625</v>
      </c>
      <c r="G216" s="19">
        <v>0.66666666666666663</v>
      </c>
      <c r="H216" s="18">
        <f>COUNTIF([1]!Table1[Course
Code],Table4[[#This Row],[Code]])</f>
        <v>1</v>
      </c>
    </row>
    <row r="217" spans="1:8" ht="23" hidden="1" customHeight="1" x14ac:dyDescent="0.25">
      <c r="A217" s="20" t="s">
        <v>318</v>
      </c>
      <c r="B217" s="18" t="s">
        <v>283</v>
      </c>
      <c r="C217" s="18">
        <f>IF(AND(Table4[[#This Row],[Start Time]]=TIME(16, 0, 0), Table4[[#This Row],[End Time]]=TIME(17, 0, 0)), 6, 7)</f>
        <v>6</v>
      </c>
      <c r="D217" s="22" t="s">
        <v>284</v>
      </c>
      <c r="E217" s="18" t="s">
        <v>329</v>
      </c>
      <c r="F217" s="19">
        <v>0.66666666666666663</v>
      </c>
      <c r="G217" s="19">
        <v>0.70833333333333326</v>
      </c>
      <c r="H217" s="18">
        <f>COUNTIF([1]!Table1[Course
Code],Table4[[#This Row],[Code]])</f>
        <v>1</v>
      </c>
    </row>
    <row r="218" spans="1:8" ht="23" hidden="1" customHeight="1" x14ac:dyDescent="0.25">
      <c r="A218" s="20" t="s">
        <v>318</v>
      </c>
      <c r="B218" s="19" t="s">
        <v>302</v>
      </c>
      <c r="C218" s="18">
        <f>IF(AND(Table4[[#This Row],[Start Time]]=TIME(11, 30, 0), Table4[[#This Row],[End Time]]=TIME(12, 30, 0)), 3, 4)</f>
        <v>3</v>
      </c>
      <c r="D218" s="15" t="s">
        <v>303</v>
      </c>
      <c r="E218" s="19" t="s">
        <v>325</v>
      </c>
      <c r="F218" s="19">
        <v>0.47916666666666669</v>
      </c>
      <c r="G218" s="19">
        <v>0.52083333333333337</v>
      </c>
      <c r="H218" s="18">
        <f>COUNTIF([1]!Table1[Course
Code],Table4[[#This Row],[Code]])</f>
        <v>1</v>
      </c>
    </row>
    <row r="219" spans="1:8" ht="23" hidden="1" customHeight="1" x14ac:dyDescent="0.25">
      <c r="A219" s="20" t="s">
        <v>318</v>
      </c>
      <c r="B219" s="18" t="s">
        <v>259</v>
      </c>
      <c r="C219" s="18">
        <f>IF(AND(Table4[[#This Row],[Start Time]]=TIME(8, 30, 0), Table4[[#This Row],[End Time]]=TIME(9, 30, 0)), 0, 1)</f>
        <v>0</v>
      </c>
      <c r="D219" s="22" t="s">
        <v>260</v>
      </c>
      <c r="E219" s="18" t="s">
        <v>324</v>
      </c>
      <c r="F219" s="19">
        <v>0.35416666666666669</v>
      </c>
      <c r="G219" s="19">
        <v>0.39583333333333337</v>
      </c>
      <c r="H219" s="18">
        <f>COUNTIF([1]!Table1[Course
Code],Table4[[#This Row],[Code]])</f>
        <v>1</v>
      </c>
    </row>
    <row r="220" spans="1:8" ht="23" hidden="1" customHeight="1" x14ac:dyDescent="0.25">
      <c r="A220" s="20" t="s">
        <v>318</v>
      </c>
      <c r="B220" s="18" t="s">
        <v>285</v>
      </c>
      <c r="C220" s="18">
        <f>IF(AND(Table4[[#This Row],[Start Time]]=TIME(16, 0, 0), Table4[[#This Row],[End Time]]=TIME(17, 0, 0)), 6, 7)</f>
        <v>6</v>
      </c>
      <c r="D220" s="14" t="s">
        <v>286</v>
      </c>
      <c r="E220" s="18" t="s">
        <v>325</v>
      </c>
      <c r="F220" s="19">
        <v>0.66666666666666663</v>
      </c>
      <c r="G220" s="19">
        <v>0.70833333333333326</v>
      </c>
      <c r="H220" s="18">
        <f>COUNTIF([1]!Table1[Course
Code],Table4[[#This Row],[Code]])</f>
        <v>1</v>
      </c>
    </row>
    <row r="221" spans="1:8" ht="23" hidden="1" customHeight="1" x14ac:dyDescent="0.25">
      <c r="A221" s="20" t="s">
        <v>318</v>
      </c>
      <c r="B221" s="18" t="s">
        <v>277</v>
      </c>
      <c r="C221" s="18">
        <f>IF(AND(Table4[[#This Row],[Start Time]]=TIME(17, 0, 0), Table4[[#This Row],[End Time]]=TIME(18, 0, 0)), 7, 8)</f>
        <v>7</v>
      </c>
      <c r="D221" s="14" t="s">
        <v>278</v>
      </c>
      <c r="E221" s="18" t="s">
        <v>326</v>
      </c>
      <c r="F221" s="19">
        <v>0.70833333333333337</v>
      </c>
      <c r="G221" s="19">
        <v>0.75</v>
      </c>
      <c r="H221" s="18">
        <f>COUNTIF([1]!Table1[Course
Code],Table4[[#This Row],[Code]])</f>
        <v>1</v>
      </c>
    </row>
    <row r="222" spans="1:8" ht="23" hidden="1" customHeight="1" x14ac:dyDescent="0.25">
      <c r="A222" s="20" t="s">
        <v>318</v>
      </c>
      <c r="B222" s="18" t="s">
        <v>296</v>
      </c>
      <c r="C222" s="18">
        <f>IF(AND(Table4[[#This Row],[Start Time]]=TIME(10, 30, 0), Table4[[#This Row],[End Time]]=TIME(11, 30, 0)), 2, 3)</f>
        <v>2</v>
      </c>
      <c r="D222" s="14" t="s">
        <v>297</v>
      </c>
      <c r="E222" s="18" t="s">
        <v>324</v>
      </c>
      <c r="F222" s="19">
        <v>0.4375</v>
      </c>
      <c r="G222" s="19">
        <v>0.47916666666666669</v>
      </c>
      <c r="H222" s="18">
        <f>COUNTIF([1]!Table1[Course
Code],Table4[[#This Row],[Code]])</f>
        <v>1</v>
      </c>
    </row>
    <row r="223" spans="1:8" ht="23" hidden="1" customHeight="1" x14ac:dyDescent="0.25">
      <c r="A223" s="20" t="s">
        <v>318</v>
      </c>
      <c r="B223" s="19" t="s">
        <v>307</v>
      </c>
      <c r="C223" s="18">
        <f>IF(AND(Table4[[#This Row],[Start Time]]=TIME(17, 0, 0), Table4[[#This Row],[End Time]]=TIME(18, 0, 0)), 7, 8)</f>
        <v>7</v>
      </c>
      <c r="D223" s="15" t="s">
        <v>308</v>
      </c>
      <c r="E223" s="19" t="s">
        <v>330</v>
      </c>
      <c r="F223" s="19">
        <v>0.70833333333333337</v>
      </c>
      <c r="G223" s="19">
        <v>0.75</v>
      </c>
      <c r="H223" s="18">
        <f>COUNTIF([1]!Table1[Course
Code],Table4[[#This Row],[Code]])</f>
        <v>1</v>
      </c>
    </row>
    <row r="224" spans="1:8" ht="23" hidden="1" customHeight="1" x14ac:dyDescent="0.25">
      <c r="A224" s="20" t="s">
        <v>318</v>
      </c>
      <c r="B224" s="18" t="s">
        <v>227</v>
      </c>
      <c r="C224" s="18">
        <v>0</v>
      </c>
      <c r="D224" s="13" t="s">
        <v>228</v>
      </c>
      <c r="E224" s="18" t="s">
        <v>314</v>
      </c>
      <c r="F224" s="19">
        <v>0.35416666666666669</v>
      </c>
      <c r="G224" s="19">
        <v>0.4375</v>
      </c>
      <c r="H224" s="18">
        <f>COUNTIF([1]!Table1[Course
Code],Table4[[#This Row],[Code]])</f>
        <v>1</v>
      </c>
    </row>
    <row r="225" spans="1:8" ht="23" hidden="1" customHeight="1" x14ac:dyDescent="0.25">
      <c r="A225" s="20" t="s">
        <v>318</v>
      </c>
      <c r="B225" s="18" t="s">
        <v>227</v>
      </c>
      <c r="C225" s="18">
        <v>1</v>
      </c>
      <c r="D225" s="13" t="s">
        <v>228</v>
      </c>
      <c r="E225" s="18" t="s">
        <v>314</v>
      </c>
      <c r="F225" s="19">
        <v>0.35416666666666669</v>
      </c>
      <c r="G225" s="19">
        <v>0.4375</v>
      </c>
      <c r="H225" s="18">
        <f>COUNTIF([1]!Table1[Course
Code],Table4[[#This Row],[Code]])</f>
        <v>1</v>
      </c>
    </row>
    <row r="226" spans="1:8" ht="23" hidden="1" customHeight="1" x14ac:dyDescent="0.25">
      <c r="A226" s="20" t="s">
        <v>318</v>
      </c>
      <c r="B226" s="18" t="s">
        <v>126</v>
      </c>
      <c r="C226" s="18">
        <f>IF(AND(Table4[[#This Row],[Start Time]]=TIME(15, 0, 0), Table4[[#This Row],[End Time]]=TIME(16, 0, 0)), 5, 6)</f>
        <v>5</v>
      </c>
      <c r="D226" s="13" t="s">
        <v>128</v>
      </c>
      <c r="E226" s="18" t="s">
        <v>322</v>
      </c>
      <c r="F226" s="19">
        <v>0.625</v>
      </c>
      <c r="G226" s="19">
        <v>0.66666666666666663</v>
      </c>
      <c r="H226" s="18">
        <f>COUNTIF([1]!Table1[Course
Code],Table4[[#This Row],[Code]])</f>
        <v>1</v>
      </c>
    </row>
    <row r="227" spans="1:8" ht="23" hidden="1" customHeight="1" x14ac:dyDescent="0.25">
      <c r="A227" s="20" t="s">
        <v>318</v>
      </c>
      <c r="B227" s="18" t="s">
        <v>261</v>
      </c>
      <c r="C227" s="18">
        <f>IF(AND(Table4[[#This Row],[Start Time]]=TIME(8, 30, 0), Table4[[#This Row],[End Time]]=TIME(9, 30, 0)), 0, 1)</f>
        <v>0</v>
      </c>
      <c r="D227" s="18" t="s">
        <v>262</v>
      </c>
      <c r="E227" s="18" t="s">
        <v>323</v>
      </c>
      <c r="F227" s="19">
        <v>0.35416666666666669</v>
      </c>
      <c r="G227" s="19">
        <v>0.39583333333333337</v>
      </c>
      <c r="H227" s="18">
        <f>COUNTIF([1]!Table1[Course
Code],Table4[[#This Row],[Code]])</f>
        <v>1</v>
      </c>
    </row>
    <row r="228" spans="1:8" ht="23" hidden="1" customHeight="1" x14ac:dyDescent="0.25">
      <c r="A228" s="20" t="s">
        <v>318</v>
      </c>
      <c r="B228" s="18" t="s">
        <v>263</v>
      </c>
      <c r="C228" s="18">
        <f>IF(AND(Table4[[#This Row],[Start Time]]=TIME(8, 30, 0), Table4[[#This Row],[End Time]]=TIME(9, 30, 0)), 0, 1)</f>
        <v>0</v>
      </c>
      <c r="D228" s="22" t="s">
        <v>264</v>
      </c>
      <c r="E228" s="18" t="s">
        <v>326</v>
      </c>
      <c r="F228" s="19">
        <v>0.35416666666666669</v>
      </c>
      <c r="G228" s="19">
        <v>0.39583333333333337</v>
      </c>
      <c r="H228" s="18">
        <f>COUNTIF([1]!Table1[Course
Code],Table4[[#This Row],[Code]])</f>
        <v>1</v>
      </c>
    </row>
    <row r="229" spans="1:8" ht="23" hidden="1" customHeight="1" x14ac:dyDescent="0.25">
      <c r="A229" s="20" t="s">
        <v>318</v>
      </c>
      <c r="B229" s="18" t="s">
        <v>256</v>
      </c>
      <c r="C229" s="18">
        <f>IF(AND(Table4[[#This Row],[Start Time]]=TIME(8, 30, 0), Table4[[#This Row],[End Time]]=TIME(9, 30, 0)), 0, 1)</f>
        <v>0</v>
      </c>
      <c r="D229" s="18" t="s">
        <v>257</v>
      </c>
      <c r="E229" s="18" t="s">
        <v>329</v>
      </c>
      <c r="F229" s="19">
        <v>0.35416666666666669</v>
      </c>
      <c r="G229" s="19">
        <v>0.39583333333333337</v>
      </c>
      <c r="H229" s="18">
        <f>COUNTIF([1]!Table1[Course
Code],Table4[[#This Row],[Code]])</f>
        <v>1</v>
      </c>
    </row>
    <row r="230" spans="1:8" ht="23" hidden="1" customHeight="1" x14ac:dyDescent="0.25">
      <c r="A230" s="20" t="s">
        <v>318</v>
      </c>
      <c r="B230" s="18" t="s">
        <v>220</v>
      </c>
      <c r="C230" s="18">
        <f>IF(AND(Table4[[#This Row],[Start Time]]=TIME(11, 30, 0), Table4[[#This Row],[End Time]]=TIME(12, 30, 0)), 3, 4)</f>
        <v>3</v>
      </c>
      <c r="D230" s="13" t="s">
        <v>221</v>
      </c>
      <c r="E230" s="18" t="s">
        <v>322</v>
      </c>
      <c r="F230" s="19">
        <v>0.47916666666666669</v>
      </c>
      <c r="G230" s="19">
        <v>0.52083333333333337</v>
      </c>
      <c r="H230" s="18">
        <f>COUNTIF([1]!Table1[Course
Code],Table4[[#This Row],[Code]])</f>
        <v>1</v>
      </c>
    </row>
    <row r="231" spans="1:8" ht="23" hidden="1" customHeight="1" x14ac:dyDescent="0.25">
      <c r="A231" s="20" t="s">
        <v>318</v>
      </c>
      <c r="B231" s="18" t="s">
        <v>172</v>
      </c>
      <c r="C231" s="18">
        <f>IF(AND(Table4[[#This Row],[Start Time]]=TIME(10, 30, 0), Table4[[#This Row],[End Time]]=TIME(11, 30, 0)), 2, 3)</f>
        <v>2</v>
      </c>
      <c r="D231" s="13" t="s">
        <v>173</v>
      </c>
      <c r="E231" s="18" t="s">
        <v>313</v>
      </c>
      <c r="F231" s="19">
        <v>0.4375</v>
      </c>
      <c r="G231" s="19">
        <v>0.47916666666666669</v>
      </c>
      <c r="H231" s="18">
        <f>COUNTIF([1]!Table1[Course
Code],Table4[[#This Row],[Code]])</f>
        <v>1</v>
      </c>
    </row>
    <row r="232" spans="1:8" ht="23" hidden="1" customHeight="1" x14ac:dyDescent="0.25">
      <c r="A232" s="20" t="s">
        <v>318</v>
      </c>
      <c r="B232" s="18" t="s">
        <v>200</v>
      </c>
      <c r="C232" s="18">
        <v>0</v>
      </c>
      <c r="D232" s="13" t="s">
        <v>201</v>
      </c>
      <c r="E232" s="18" t="s">
        <v>333</v>
      </c>
      <c r="F232" s="19">
        <v>0.34375</v>
      </c>
      <c r="G232" s="19">
        <v>0.46527777777777773</v>
      </c>
      <c r="H232" s="18">
        <f>COUNTIF([1]!Table1[Course
Code],Table4[[#This Row],[Code]])</f>
        <v>1</v>
      </c>
    </row>
    <row r="233" spans="1:8" ht="23" hidden="1" customHeight="1" x14ac:dyDescent="0.25">
      <c r="A233" s="20" t="s">
        <v>318</v>
      </c>
      <c r="B233" s="18" t="s">
        <v>200</v>
      </c>
      <c r="C233" s="18">
        <v>1</v>
      </c>
      <c r="D233" s="13" t="s">
        <v>201</v>
      </c>
      <c r="E233" s="18" t="s">
        <v>333</v>
      </c>
      <c r="F233" s="19">
        <v>0.34375</v>
      </c>
      <c r="G233" s="19">
        <v>0.46527777777777773</v>
      </c>
      <c r="H233" s="18">
        <f>COUNTIF([1]!Table1[Course
Code],Table4[[#This Row],[Code]])</f>
        <v>1</v>
      </c>
    </row>
    <row r="234" spans="1:8" ht="23" hidden="1" customHeight="1" x14ac:dyDescent="0.25">
      <c r="A234" s="20" t="s">
        <v>318</v>
      </c>
      <c r="B234" s="18" t="s">
        <v>200</v>
      </c>
      <c r="C234" s="18">
        <v>2</v>
      </c>
      <c r="D234" s="13" t="s">
        <v>201</v>
      </c>
      <c r="E234" s="18" t="s">
        <v>333</v>
      </c>
      <c r="F234" s="19">
        <v>0.34375</v>
      </c>
      <c r="G234" s="19">
        <v>0.46527777777777773</v>
      </c>
      <c r="H234" s="18">
        <f>COUNTIF([1]!Table1[Course
Code],Table4[[#This Row],[Code]])</f>
        <v>1</v>
      </c>
    </row>
    <row r="235" spans="1:8" ht="23" hidden="1" customHeight="1" x14ac:dyDescent="0.25">
      <c r="A235" s="20" t="s">
        <v>318</v>
      </c>
      <c r="B235" s="18" t="s">
        <v>208</v>
      </c>
      <c r="C235" s="18">
        <f>IF(AND(Table4[[#This Row],[Start Time]]=TIME(14, 0, 0), Table4[[#This Row],[End Time]]=TIME(15, 0, 0)), 4, 5)</f>
        <v>4</v>
      </c>
      <c r="D235" s="13" t="s">
        <v>209</v>
      </c>
      <c r="E235" s="18" t="s">
        <v>325</v>
      </c>
      <c r="F235" s="19">
        <v>0.58333333333333337</v>
      </c>
      <c r="G235" s="19">
        <v>0.625</v>
      </c>
      <c r="H235" s="18">
        <f>COUNTIF([1]!Table1[Course
Code],Table4[[#This Row],[Code]])</f>
        <v>1</v>
      </c>
    </row>
    <row r="236" spans="1:8" ht="23" hidden="1" customHeight="1" x14ac:dyDescent="0.25">
      <c r="A236" s="20" t="s">
        <v>318</v>
      </c>
      <c r="B236" s="18" t="s">
        <v>212</v>
      </c>
      <c r="C236" s="18">
        <v>1</v>
      </c>
      <c r="D236" s="13" t="s">
        <v>213</v>
      </c>
      <c r="E236" s="18" t="s">
        <v>333</v>
      </c>
      <c r="F236" s="19">
        <v>0.39583333333333331</v>
      </c>
      <c r="G236" s="19">
        <v>0.52083333333333337</v>
      </c>
      <c r="H236" s="18">
        <f>COUNTIF([1]!Table1[Course
Code],Table4[[#This Row],[Code]])</f>
        <v>1</v>
      </c>
    </row>
    <row r="237" spans="1:8" ht="23" hidden="1" customHeight="1" x14ac:dyDescent="0.25">
      <c r="A237" s="20" t="s">
        <v>318</v>
      </c>
      <c r="B237" s="18" t="s">
        <v>212</v>
      </c>
      <c r="C237" s="18">
        <v>2</v>
      </c>
      <c r="D237" s="13" t="s">
        <v>213</v>
      </c>
      <c r="E237" s="18" t="s">
        <v>333</v>
      </c>
      <c r="F237" s="19">
        <v>0.39583333333333331</v>
      </c>
      <c r="G237" s="19">
        <v>0.52083333333333337</v>
      </c>
      <c r="H237" s="18">
        <f>COUNTIF([1]!Table1[Course
Code],Table4[[#This Row],[Code]])</f>
        <v>1</v>
      </c>
    </row>
    <row r="238" spans="1:8" ht="23" hidden="1" customHeight="1" x14ac:dyDescent="0.25">
      <c r="A238" s="20" t="s">
        <v>318</v>
      </c>
      <c r="B238" s="18" t="s">
        <v>212</v>
      </c>
      <c r="C238" s="18">
        <v>3</v>
      </c>
      <c r="D238" s="13" t="s">
        <v>213</v>
      </c>
      <c r="E238" s="18" t="s">
        <v>333</v>
      </c>
      <c r="F238" s="19">
        <v>0.39583333333333331</v>
      </c>
      <c r="G238" s="19">
        <v>0.52083333333333337</v>
      </c>
      <c r="H238" s="18">
        <f>COUNTIF([1]!Table1[Course
Code],Table4[[#This Row],[Code]])</f>
        <v>1</v>
      </c>
    </row>
    <row r="239" spans="1:8" ht="23" hidden="1" customHeight="1" x14ac:dyDescent="0.25">
      <c r="A239" s="20" t="s">
        <v>318</v>
      </c>
      <c r="B239" s="18" t="s">
        <v>287</v>
      </c>
      <c r="C239" s="18">
        <f>IF(AND(Table4[[#This Row],[Start Time]]=TIME(16, 0, 0), Table4[[#This Row],[End Time]]=TIME(17, 0, 0)), 6, 7)</f>
        <v>6</v>
      </c>
      <c r="D239" s="22" t="s">
        <v>288</v>
      </c>
      <c r="E239" s="18" t="s">
        <v>327</v>
      </c>
      <c r="F239" s="19">
        <v>0.66666666666666663</v>
      </c>
      <c r="G239" s="19">
        <v>0.70833333333333326</v>
      </c>
      <c r="H239" s="18">
        <f>COUNTIF([1]!Table1[Course
Code],Table4[[#This Row],[Code]])</f>
        <v>1</v>
      </c>
    </row>
    <row r="240" spans="1:8" ht="23" hidden="1" customHeight="1" x14ac:dyDescent="0.25">
      <c r="A240" s="20" t="s">
        <v>318</v>
      </c>
      <c r="B240" s="18" t="s">
        <v>273</v>
      </c>
      <c r="C240" s="18">
        <f>IF(AND(Table4[[#This Row],[Start Time]]=TIME(17, 0, 0), Table4[[#This Row],[End Time]]=TIME(18, 0, 0)), 7, 8)</f>
        <v>7</v>
      </c>
      <c r="D240" s="13" t="s">
        <v>274</v>
      </c>
      <c r="E240" s="18" t="s">
        <v>325</v>
      </c>
      <c r="F240" s="19">
        <v>0.70833333333333337</v>
      </c>
      <c r="G240" s="19">
        <v>0.75</v>
      </c>
      <c r="H240" s="18">
        <f>COUNTIF([1]!Table1[Course
Code],Table4[[#This Row],[Code]])</f>
        <v>1</v>
      </c>
    </row>
    <row r="241" spans="1:8" ht="23" hidden="1" customHeight="1" x14ac:dyDescent="0.25">
      <c r="A241" s="20" t="s">
        <v>318</v>
      </c>
      <c r="B241" s="18" t="s">
        <v>245</v>
      </c>
      <c r="C241" s="18">
        <f>IF(AND(Table4[[#This Row],[Start Time]]=TIME(11, 30, 0), Table4[[#This Row],[End Time]]=TIME(12, 30, 0)), 3, 4)</f>
        <v>3</v>
      </c>
      <c r="D241" s="18" t="s">
        <v>246</v>
      </c>
      <c r="E241" s="18" t="s">
        <v>328</v>
      </c>
      <c r="F241" s="19">
        <v>0.47916666666666669</v>
      </c>
      <c r="G241" s="19">
        <v>0.52083333333333337</v>
      </c>
      <c r="H241" s="18">
        <f>COUNTIF([1]!Table1[Course
Code],Table4[[#This Row],[Code]])</f>
        <v>1</v>
      </c>
    </row>
    <row r="242" spans="1:8" ht="23" hidden="1" customHeight="1" x14ac:dyDescent="0.25">
      <c r="A242" s="20" t="s">
        <v>318</v>
      </c>
      <c r="B242" s="18" t="s">
        <v>275</v>
      </c>
      <c r="C242" s="18">
        <f>IF(AND(Table4[[#This Row],[Start Time]]=TIME(17, 0, 0), Table4[[#This Row],[End Time]]=TIME(18, 0, 0)), 7, 8)</f>
        <v>7</v>
      </c>
      <c r="D242" s="14" t="s">
        <v>276</v>
      </c>
      <c r="E242" s="18" t="s">
        <v>328</v>
      </c>
      <c r="F242" s="19">
        <v>0.70833333333333337</v>
      </c>
      <c r="G242" s="19">
        <v>0.75</v>
      </c>
      <c r="H242" s="18">
        <f>COUNTIF([1]!Table1[Course
Code],Table4[[#This Row],[Code]])</f>
        <v>1</v>
      </c>
    </row>
    <row r="243" spans="1:8" ht="23" hidden="1" customHeight="1" x14ac:dyDescent="0.25">
      <c r="A243" s="20" t="s">
        <v>318</v>
      </c>
      <c r="B243" s="18" t="s">
        <v>281</v>
      </c>
      <c r="C243" s="18">
        <f>IF(AND(Table4[[#This Row],[Start Time]]=TIME(14, 0, 0), Table4[[#This Row],[End Time]]=TIME(15, 0, 0)), 4, 5)</f>
        <v>4</v>
      </c>
      <c r="D243" s="14" t="s">
        <v>282</v>
      </c>
      <c r="E243" s="18" t="s">
        <v>328</v>
      </c>
      <c r="F243" s="19">
        <v>0.58333333333333337</v>
      </c>
      <c r="G243" s="19">
        <v>0.625</v>
      </c>
      <c r="H243" s="18">
        <f>COUNTIF([1]!Table1[Course
Code],Table4[[#This Row],[Code]])</f>
        <v>1</v>
      </c>
    </row>
    <row r="244" spans="1:8" ht="23" hidden="1" customHeight="1" x14ac:dyDescent="0.25">
      <c r="A244" s="20" t="s">
        <v>318</v>
      </c>
      <c r="B244" s="18" t="s">
        <v>289</v>
      </c>
      <c r="C244" s="18">
        <f>IF(AND(Table4[[#This Row],[Start Time]]=TIME(16, 0, 0), Table4[[#This Row],[End Time]]=TIME(17, 0, 0)), 6, 7)</f>
        <v>6</v>
      </c>
      <c r="D244" s="14" t="s">
        <v>290</v>
      </c>
      <c r="E244" s="18" t="s">
        <v>328</v>
      </c>
      <c r="F244" s="19">
        <v>0.66666666666666663</v>
      </c>
      <c r="G244" s="19">
        <v>0.70833333333333326</v>
      </c>
      <c r="H244" s="18">
        <f>COUNTIF([1]!Table1[Course
Code],Table4[[#This Row],[Code]])</f>
        <v>1</v>
      </c>
    </row>
    <row r="245" spans="1:8" ht="23" hidden="1" customHeight="1" x14ac:dyDescent="0.25">
      <c r="A245" s="20" t="s">
        <v>318</v>
      </c>
      <c r="B245" s="18" t="s">
        <v>121</v>
      </c>
      <c r="C245" s="18">
        <f>IF(AND(Table4[[#This Row],[Start Time]]=TIME(11, 30, 0), Table4[[#This Row],[End Time]]=TIME(12, 30, 0)), 3, 4)</f>
        <v>3</v>
      </c>
      <c r="D245" s="13" t="s">
        <v>122</v>
      </c>
      <c r="E245" s="18" t="s">
        <v>311</v>
      </c>
      <c r="F245" s="19">
        <v>0.47916666666666669</v>
      </c>
      <c r="G245" s="19">
        <v>0.52083333333333337</v>
      </c>
      <c r="H245" s="18">
        <f>COUNTIF([1]!Table1[Course
Code],Table4[[#This Row],[Code]])</f>
        <v>1</v>
      </c>
    </row>
    <row r="246" spans="1:8" ht="23" hidden="1" customHeight="1" x14ac:dyDescent="0.25">
      <c r="A246" s="20" t="s">
        <v>318</v>
      </c>
      <c r="B246" s="18" t="s">
        <v>229</v>
      </c>
      <c r="C246" s="18">
        <v>5</v>
      </c>
      <c r="D246" s="13" t="s">
        <v>230</v>
      </c>
      <c r="E246" s="18" t="s">
        <v>333</v>
      </c>
      <c r="F246" s="19">
        <v>0.625</v>
      </c>
      <c r="G246" s="19">
        <v>0.75</v>
      </c>
      <c r="H246" s="18">
        <f>COUNTIF([1]!Table1[Course
Code],Table4[[#This Row],[Code]])</f>
        <v>1</v>
      </c>
    </row>
    <row r="247" spans="1:8" ht="23" hidden="1" customHeight="1" x14ac:dyDescent="0.25">
      <c r="A247" s="20" t="s">
        <v>318</v>
      </c>
      <c r="B247" s="18" t="s">
        <v>229</v>
      </c>
      <c r="C247" s="18">
        <v>6</v>
      </c>
      <c r="D247" s="13" t="s">
        <v>230</v>
      </c>
      <c r="E247" s="18" t="s">
        <v>333</v>
      </c>
      <c r="F247" s="19">
        <v>0.625</v>
      </c>
      <c r="G247" s="19">
        <v>0.75</v>
      </c>
      <c r="H247" s="18">
        <f>COUNTIF([1]!Table1[Course
Code],Table4[[#This Row],[Code]])</f>
        <v>1</v>
      </c>
    </row>
    <row r="248" spans="1:8" ht="23" hidden="1" customHeight="1" x14ac:dyDescent="0.25">
      <c r="A248" s="20" t="s">
        <v>318</v>
      </c>
      <c r="B248" s="18" t="s">
        <v>229</v>
      </c>
      <c r="C248" s="18">
        <v>7</v>
      </c>
      <c r="D248" s="13" t="s">
        <v>230</v>
      </c>
      <c r="E248" s="18" t="s">
        <v>333</v>
      </c>
      <c r="F248" s="19">
        <v>0.625</v>
      </c>
      <c r="G248" s="19">
        <v>0.75</v>
      </c>
      <c r="H248" s="18">
        <f>COUNTIF([1]!Table1[Course
Code],Table4[[#This Row],[Code]])</f>
        <v>1</v>
      </c>
    </row>
    <row r="249" spans="1:8" ht="23" hidden="1" customHeight="1" x14ac:dyDescent="0.25">
      <c r="A249" s="20" t="s">
        <v>318</v>
      </c>
      <c r="B249" s="18" t="s">
        <v>192</v>
      </c>
      <c r="C249" s="18">
        <f>IF(AND(Table4[[#This Row],[Start Time]]=TIME(16, 0, 0), Table4[[#This Row],[End Time]]=TIME(17, 0, 0)), 6, 7)</f>
        <v>6</v>
      </c>
      <c r="D249" s="13" t="s">
        <v>193</v>
      </c>
      <c r="E249" s="18" t="s">
        <v>326</v>
      </c>
      <c r="F249" s="19">
        <v>0.66666666666666663</v>
      </c>
      <c r="G249" s="19">
        <v>0.70833333333333326</v>
      </c>
      <c r="H249" s="18">
        <f>COUNTIF([1]!Table1[Course
Code],Table4[[#This Row],[Code]])</f>
        <v>1</v>
      </c>
    </row>
    <row r="250" spans="1:8" ht="23" hidden="1" customHeight="1" x14ac:dyDescent="0.25">
      <c r="A250" s="20" t="s">
        <v>318</v>
      </c>
      <c r="B250" s="18" t="s">
        <v>190</v>
      </c>
      <c r="C250" s="18">
        <f>IF(AND(Table4[[#This Row],[Start Time]]=TIME(8, 30, 0), Table4[[#This Row],[End Time]]=TIME(9, 30, 0)), 0, 1)</f>
        <v>0</v>
      </c>
      <c r="D250" s="13" t="s">
        <v>191</v>
      </c>
      <c r="E250" s="18" t="s">
        <v>327</v>
      </c>
      <c r="F250" s="19">
        <v>0.35416666666666669</v>
      </c>
      <c r="G250" s="19">
        <v>0.39583333333333337</v>
      </c>
      <c r="H250" s="18">
        <f>COUNTIF([1]!Table1[Course
Code],Table4[[#This Row],[Code]])</f>
        <v>1</v>
      </c>
    </row>
    <row r="251" spans="1:8" ht="23" hidden="1" customHeight="1" x14ac:dyDescent="0.25">
      <c r="A251" s="20" t="s">
        <v>319</v>
      </c>
      <c r="B251" s="18" t="s">
        <v>225</v>
      </c>
      <c r="C251" s="18">
        <f>IF(AND(Table4[[#This Row],[Start Time]]=TIME(11, 30, 0), Table4[[#This Row],[End Time]]=TIME(12, 30, 0)), 3, 4)</f>
        <v>3</v>
      </c>
      <c r="D251" s="13" t="s">
        <v>226</v>
      </c>
      <c r="E251" s="18" t="s">
        <v>322</v>
      </c>
      <c r="F251" s="19">
        <v>0.47916666666666669</v>
      </c>
      <c r="G251" s="19">
        <v>0.52083333333333337</v>
      </c>
      <c r="H251" s="18">
        <f>COUNTIF([1]!Table1[Course
Code],Table4[[#This Row],[Code]])</f>
        <v>1</v>
      </c>
    </row>
    <row r="252" spans="1:8" ht="23" hidden="1" customHeight="1" x14ac:dyDescent="0.25">
      <c r="A252" s="20" t="s">
        <v>319</v>
      </c>
      <c r="B252" s="18" t="s">
        <v>225</v>
      </c>
      <c r="C252" s="18">
        <f>IF(AND(Table4[[#This Row],[Start Time]]=TIME(11, 30, 0), Table4[[#This Row],[End Time]]=TIME(12, 30, 0)), 3, 4)</f>
        <v>3</v>
      </c>
      <c r="D252" s="13" t="s">
        <v>226</v>
      </c>
      <c r="E252" s="18" t="s">
        <v>314</v>
      </c>
      <c r="F252" s="19">
        <v>0.47916666666666669</v>
      </c>
      <c r="G252" s="19">
        <v>0.52083333333333337</v>
      </c>
      <c r="H252" s="18">
        <f>COUNTIF([1]!Table1[Course
Code],Table4[[#This Row],[Code]])</f>
        <v>1</v>
      </c>
    </row>
    <row r="253" spans="1:8" ht="23" hidden="1" customHeight="1" x14ac:dyDescent="0.25">
      <c r="A253" s="20" t="s">
        <v>319</v>
      </c>
      <c r="B253" s="18" t="s">
        <v>146</v>
      </c>
      <c r="C253" s="18">
        <f>IF(AND(Table4[[#This Row],[Start Time]]=TIME(9, 30, 0), Table4[[#This Row],[End Time]]=TIME(10, 30, 0)), 1, 2)</f>
        <v>1</v>
      </c>
      <c r="D253" s="13" t="s">
        <v>147</v>
      </c>
      <c r="E253" s="18" t="s">
        <v>315</v>
      </c>
      <c r="F253" s="19">
        <v>0.39583333333333331</v>
      </c>
      <c r="G253" s="19">
        <v>0.4375</v>
      </c>
      <c r="H253" s="18">
        <f>COUNTIF([1]!Table1[Course
Code],Table4[[#This Row],[Code]])</f>
        <v>1</v>
      </c>
    </row>
    <row r="254" spans="1:8" ht="23" hidden="1" customHeight="1" x14ac:dyDescent="0.25">
      <c r="A254" s="20" t="s">
        <v>319</v>
      </c>
      <c r="B254" s="18" t="s">
        <v>216</v>
      </c>
      <c r="C254" s="18">
        <f>IF(AND(Table4[[#This Row],[Start Time]]=TIME(8, 30, 0), Table4[[#This Row],[End Time]]=TIME(9, 30, 0)), 0, 1)</f>
        <v>0</v>
      </c>
      <c r="D254" s="13" t="s">
        <v>217</v>
      </c>
      <c r="E254" s="18" t="s">
        <v>322</v>
      </c>
      <c r="F254" s="19">
        <v>0.35416666666666669</v>
      </c>
      <c r="G254" s="19">
        <v>0.39583333333333337</v>
      </c>
      <c r="H254" s="18">
        <f>COUNTIF([1]!Table1[Course
Code],Table4[[#This Row],[Code]])</f>
        <v>1</v>
      </c>
    </row>
    <row r="255" spans="1:8" ht="23" hidden="1" customHeight="1" x14ac:dyDescent="0.25">
      <c r="A255" s="20" t="s">
        <v>319</v>
      </c>
      <c r="B255" s="18" t="s">
        <v>116</v>
      </c>
      <c r="C255" s="18">
        <f>IF(AND(Table4[[#This Row],[Start Time]]=TIME(10, 30, 0), Table4[[#This Row],[End Time]]=TIME(11, 30, 0)), 2, 3)</f>
        <v>2</v>
      </c>
      <c r="D255" s="13" t="s">
        <v>117</v>
      </c>
      <c r="E255" s="18" t="s">
        <v>311</v>
      </c>
      <c r="F255" s="19">
        <v>0.4375</v>
      </c>
      <c r="G255" s="19">
        <v>0.47916666666666669</v>
      </c>
      <c r="H255" s="18">
        <f>COUNTIF([1]!Table1[Course
Code],Table4[[#This Row],[Code]])</f>
        <v>1</v>
      </c>
    </row>
    <row r="256" spans="1:8" ht="23" hidden="1" customHeight="1" x14ac:dyDescent="0.25">
      <c r="A256" s="20" t="s">
        <v>319</v>
      </c>
      <c r="B256" s="18" t="s">
        <v>133</v>
      </c>
      <c r="C256" s="18">
        <f>IF(AND(Table4[[#This Row],[Start Time]]=TIME(11, 30, 0), Table4[[#This Row],[End Time]]=TIME(12, 30, 0)), 3, 4)</f>
        <v>3</v>
      </c>
      <c r="D256" s="13" t="s">
        <v>135</v>
      </c>
      <c r="E256" s="18" t="s">
        <v>321</v>
      </c>
      <c r="F256" s="19">
        <v>0.47916666666666669</v>
      </c>
      <c r="G256" s="19">
        <v>0.52083333333333337</v>
      </c>
      <c r="H256" s="18">
        <f>COUNTIF([1]!Table1[Course
Code],Table4[[#This Row],[Code]])</f>
        <v>1</v>
      </c>
    </row>
    <row r="257" spans="1:8" ht="23" hidden="1" customHeight="1" x14ac:dyDescent="0.25">
      <c r="A257" s="20" t="s">
        <v>319</v>
      </c>
      <c r="B257" s="18" t="s">
        <v>136</v>
      </c>
      <c r="C257" s="18">
        <f>IF(AND(Table4[[#This Row],[Start Time]]=TIME(8, 30, 0), Table4[[#This Row],[End Time]]=TIME(9, 30, 0)), 0, 1)</f>
        <v>0</v>
      </c>
      <c r="D257" s="13" t="s">
        <v>137</v>
      </c>
      <c r="E257" s="18" t="s">
        <v>311</v>
      </c>
      <c r="F257" s="19">
        <v>0.35416666666666669</v>
      </c>
      <c r="G257" s="19">
        <v>0.39583333333333337</v>
      </c>
      <c r="H257" s="18">
        <f>COUNTIF([1]!Table1[Course
Code],Table4[[#This Row],[Code]])</f>
        <v>1</v>
      </c>
    </row>
    <row r="258" spans="1:8" ht="23" hidden="1" customHeight="1" x14ac:dyDescent="0.25">
      <c r="A258" s="20" t="s">
        <v>319</v>
      </c>
      <c r="B258" s="18" t="s">
        <v>156</v>
      </c>
      <c r="C258" s="18">
        <f>IF(AND(Table4[[#This Row],[Start Time]]=TIME(11, 30, 0), Table4[[#This Row],[End Time]]=TIME(12, 30, 0)), 3, 4)</f>
        <v>3</v>
      </c>
      <c r="D258" s="13" t="s">
        <v>157</v>
      </c>
      <c r="E258" s="18" t="s">
        <v>312</v>
      </c>
      <c r="F258" s="19">
        <v>0.47916666666666669</v>
      </c>
      <c r="G258" s="19">
        <v>0.52083333333333337</v>
      </c>
      <c r="H258" s="18">
        <f>COUNTIF([1]!Table1[Course
Code],Table4[[#This Row],[Code]])</f>
        <v>1</v>
      </c>
    </row>
    <row r="259" spans="1:8" ht="23" hidden="1" customHeight="1" x14ac:dyDescent="0.25">
      <c r="A259" s="20" t="s">
        <v>319</v>
      </c>
      <c r="B259" s="18" t="s">
        <v>153</v>
      </c>
      <c r="C259" s="18">
        <f>IF(AND(Table4[[#This Row],[Start Time]]=TIME(10, 30, 0), Table4[[#This Row],[End Time]]=TIME(11, 30, 0)), 2, 3)</f>
        <v>2</v>
      </c>
      <c r="D259" s="13" t="s">
        <v>154</v>
      </c>
      <c r="E259" s="18" t="s">
        <v>312</v>
      </c>
      <c r="F259" s="19">
        <v>0.4375</v>
      </c>
      <c r="G259" s="19">
        <v>0.47916666666666669</v>
      </c>
      <c r="H259" s="18">
        <f>COUNTIF([1]!Table1[Course
Code],Table4[[#This Row],[Code]])</f>
        <v>1</v>
      </c>
    </row>
    <row r="260" spans="1:8" ht="23" customHeight="1" x14ac:dyDescent="0.25">
      <c r="A260" s="20" t="s">
        <v>319</v>
      </c>
      <c r="B260" s="18" t="s">
        <v>160</v>
      </c>
      <c r="C260" s="18">
        <f>IF(AND(Table4[[#This Row],[Start Time]]=TIME(10, 30, 0), Table4[[#This Row],[End Time]]=TIME(11, 30, 0)), 2, 3)</f>
        <v>2</v>
      </c>
      <c r="D260" s="13" t="s">
        <v>161</v>
      </c>
      <c r="E260" s="18" t="s">
        <v>323</v>
      </c>
      <c r="F260" s="19">
        <v>0.4375</v>
      </c>
      <c r="G260" s="19">
        <v>0.47916666666666669</v>
      </c>
      <c r="H260" s="18">
        <f>COUNTIF([1]!Table1[Course
Code],Table4[[#This Row],[Code]])</f>
        <v>1</v>
      </c>
    </row>
    <row r="261" spans="1:8" ht="23" hidden="1" customHeight="1" x14ac:dyDescent="0.25">
      <c r="A261" s="20" t="s">
        <v>319</v>
      </c>
      <c r="B261" s="18" t="s">
        <v>252</v>
      </c>
      <c r="C261" s="18">
        <f>IF(AND(Table4[[#This Row],[Start Time]]=TIME(16, 0, 0), Table4[[#This Row],[End Time]]=TIME(17, 0, 0)), 6, 7)</f>
        <v>6</v>
      </c>
      <c r="D261" s="22" t="s">
        <v>253</v>
      </c>
      <c r="E261" s="18" t="s">
        <v>323</v>
      </c>
      <c r="F261" s="19">
        <v>0.66666666666666663</v>
      </c>
      <c r="G261" s="19">
        <v>0.70833333333333326</v>
      </c>
      <c r="H261" s="18">
        <f>COUNTIF([1]!Table1[Course
Code],Table4[[#This Row],[Code]])</f>
        <v>1</v>
      </c>
    </row>
    <row r="262" spans="1:8" ht="23" hidden="1" customHeight="1" x14ac:dyDescent="0.25">
      <c r="A262" s="20" t="s">
        <v>319</v>
      </c>
      <c r="B262" s="18" t="s">
        <v>291</v>
      </c>
      <c r="C262" s="18">
        <f>IF(AND(Table4[[#This Row],[Start Time]]=TIME(10, 30, 0), Table4[[#This Row],[End Time]]=TIME(11, 30, 0)), 2, 3)</f>
        <v>2</v>
      </c>
      <c r="D262" s="22" t="s">
        <v>292</v>
      </c>
      <c r="E262" s="18" t="s">
        <v>330</v>
      </c>
      <c r="F262" s="19">
        <v>0.4375</v>
      </c>
      <c r="G262" s="19">
        <v>0.47916666666666669</v>
      </c>
      <c r="H262" s="18">
        <f>COUNTIF([1]!Table1[Course
Code],Table4[[#This Row],[Code]])</f>
        <v>1</v>
      </c>
    </row>
    <row r="263" spans="1:8" ht="23" hidden="1" customHeight="1" x14ac:dyDescent="0.25">
      <c r="A263" s="20" t="s">
        <v>319</v>
      </c>
      <c r="B263" s="18" t="s">
        <v>239</v>
      </c>
      <c r="C263" s="18">
        <f>IF(AND(Table4[[#This Row],[Start Time]]=TIME(15, 0, 0), Table4[[#This Row],[End Time]]=TIME(16, 0, 0)), 5, 6)</f>
        <v>5</v>
      </c>
      <c r="D263" s="18" t="s">
        <v>240</v>
      </c>
      <c r="E263" s="18" t="s">
        <v>331</v>
      </c>
      <c r="F263" s="19">
        <v>0.625</v>
      </c>
      <c r="G263" s="19">
        <v>0.66666666666666663</v>
      </c>
      <c r="H263" s="18">
        <f>COUNTIF([1]!Table1[Course
Code],Table4[[#This Row],[Code]])</f>
        <v>1</v>
      </c>
    </row>
    <row r="264" spans="1:8" ht="23" hidden="1" customHeight="1" x14ac:dyDescent="0.25">
      <c r="A264" s="20" t="s">
        <v>319</v>
      </c>
      <c r="B264" s="18" t="s">
        <v>237</v>
      </c>
      <c r="C264" s="18">
        <f>IF(AND(Table4[[#This Row],[Start Time]]=TIME(11, 30, 0), Table4[[#This Row],[End Time]]=TIME(12, 30, 0)), 3, 4)</f>
        <v>3</v>
      </c>
      <c r="D264" s="22" t="s">
        <v>238</v>
      </c>
      <c r="E264" s="18" t="s">
        <v>326</v>
      </c>
      <c r="F264" s="19">
        <v>0.47916666666666669</v>
      </c>
      <c r="G264" s="19">
        <v>0.52083333333333337</v>
      </c>
      <c r="H264" s="18">
        <f>COUNTIF([1]!Table1[Course
Code],Table4[[#This Row],[Code]])</f>
        <v>1</v>
      </c>
    </row>
    <row r="265" spans="1:8" ht="23" hidden="1" customHeight="1" x14ac:dyDescent="0.25">
      <c r="A265" s="20" t="s">
        <v>319</v>
      </c>
      <c r="B265" s="18" t="s">
        <v>168</v>
      </c>
      <c r="C265" s="18">
        <f>IF(AND(Table4[[#This Row],[Start Time]]=TIME(10, 30, 0), Table4[[#This Row],[End Time]]=TIME(11, 30, 0)), 2, 3)</f>
        <v>2</v>
      </c>
      <c r="D265" s="13" t="s">
        <v>169</v>
      </c>
      <c r="E265" s="18" t="s">
        <v>313</v>
      </c>
      <c r="F265" s="19">
        <v>0.4375</v>
      </c>
      <c r="G265" s="19">
        <v>0.47916666666666669</v>
      </c>
      <c r="H265" s="18">
        <f>COUNTIF([1]!Table1[Course
Code],Table4[[#This Row],[Code]])</f>
        <v>1</v>
      </c>
    </row>
    <row r="266" spans="1:8" ht="23" hidden="1" customHeight="1" x14ac:dyDescent="0.25">
      <c r="A266" s="20" t="s">
        <v>319</v>
      </c>
      <c r="B266" s="18" t="s">
        <v>170</v>
      </c>
      <c r="C266" s="18">
        <f>IF(AND(Table4[[#This Row],[Start Time]]=TIME(11, 30, 0), Table4[[#This Row],[End Time]]=TIME(12, 30, 0)), 3, 4)</f>
        <v>3</v>
      </c>
      <c r="D266" s="13" t="s">
        <v>171</v>
      </c>
      <c r="E266" s="18" t="s">
        <v>313</v>
      </c>
      <c r="F266" s="19">
        <v>0.47916666666666669</v>
      </c>
      <c r="G266" s="19">
        <v>0.52083333333333337</v>
      </c>
      <c r="H266" s="18">
        <f>COUNTIF([1]!Table1[Course
Code],Table4[[#This Row],[Code]])</f>
        <v>1</v>
      </c>
    </row>
    <row r="267" spans="1:8" ht="23" hidden="1" customHeight="1" x14ac:dyDescent="0.25">
      <c r="A267" s="20" t="s">
        <v>319</v>
      </c>
      <c r="B267" s="18" t="s">
        <v>140</v>
      </c>
      <c r="C267" s="18">
        <f>IF(AND(Table4[[#This Row],[Start Time]]=TIME(15, 0, 0), Table4[[#This Row],[End Time]]=TIME(16, 0, 0)), 5, 6)</f>
        <v>5</v>
      </c>
      <c r="D267" s="13" t="s">
        <v>141</v>
      </c>
      <c r="E267" s="18" t="s">
        <v>320</v>
      </c>
      <c r="F267" s="19">
        <v>0.625</v>
      </c>
      <c r="G267" s="19">
        <v>0.66666666666666663</v>
      </c>
      <c r="H267" s="18">
        <f>COUNTIF([1]!Table1[Course
Code],Table4[[#This Row],[Code]])</f>
        <v>1</v>
      </c>
    </row>
    <row r="268" spans="1:8" ht="23" hidden="1" customHeight="1" x14ac:dyDescent="0.25">
      <c r="A268" s="20" t="s">
        <v>319</v>
      </c>
      <c r="B268" s="18" t="s">
        <v>176</v>
      </c>
      <c r="C268" s="18">
        <f>IF(AND(Table4[[#This Row],[Start Time]]=TIME(15, 0, 0), Table4[[#This Row],[End Time]]=TIME(16, 0, 0)), 5, 6)</f>
        <v>5</v>
      </c>
      <c r="D268" s="13" t="s">
        <v>177</v>
      </c>
      <c r="E268" s="18" t="s">
        <v>323</v>
      </c>
      <c r="F268" s="19">
        <v>0.625</v>
      </c>
      <c r="G268" s="19">
        <v>0.66666666666666663</v>
      </c>
      <c r="H268" s="18">
        <f>COUNTIF([1]!Table1[Course
Code],Table4[[#This Row],[Code]])</f>
        <v>1</v>
      </c>
    </row>
    <row r="269" spans="1:8" ht="23" hidden="1" customHeight="1" x14ac:dyDescent="0.25">
      <c r="A269" s="20" t="s">
        <v>319</v>
      </c>
      <c r="B269" s="18" t="s">
        <v>248</v>
      </c>
      <c r="C269" s="18">
        <f>IF(AND(Table4[[#This Row],[Start Time]]=TIME(15, 0, 0), Table4[[#This Row],[End Time]]=TIME(16, 0, 0)), 5, 6)</f>
        <v>5</v>
      </c>
      <c r="D269" s="22" t="s">
        <v>249</v>
      </c>
      <c r="E269" s="18" t="s">
        <v>327</v>
      </c>
      <c r="F269" s="19">
        <v>0.625</v>
      </c>
      <c r="G269" s="19">
        <v>0.66666666666666663</v>
      </c>
      <c r="H269" s="18">
        <f>COUNTIF([1]!Table1[Course
Code],Table4[[#This Row],[Code]])</f>
        <v>1</v>
      </c>
    </row>
    <row r="270" spans="1:8" ht="23" hidden="1" customHeight="1" x14ac:dyDescent="0.25">
      <c r="A270" s="20" t="s">
        <v>319</v>
      </c>
      <c r="B270" s="18" t="s">
        <v>298</v>
      </c>
      <c r="C270" s="18">
        <v>0</v>
      </c>
      <c r="D270" s="18" t="s">
        <v>299</v>
      </c>
      <c r="E270" s="18" t="s">
        <v>333</v>
      </c>
      <c r="F270" s="19">
        <v>0.35416666666666669</v>
      </c>
      <c r="G270" s="19">
        <v>0.4375</v>
      </c>
      <c r="H270" s="18">
        <f>COUNTIF([1]!Table1[Course
Code],Table4[[#This Row],[Code]])</f>
        <v>1</v>
      </c>
    </row>
    <row r="271" spans="1:8" ht="23" hidden="1" customHeight="1" x14ac:dyDescent="0.25">
      <c r="A271" s="20" t="s">
        <v>319</v>
      </c>
      <c r="B271" s="18" t="s">
        <v>298</v>
      </c>
      <c r="C271" s="18">
        <v>1</v>
      </c>
      <c r="D271" s="18" t="s">
        <v>299</v>
      </c>
      <c r="E271" s="18" t="s">
        <v>333</v>
      </c>
      <c r="F271" s="19">
        <v>0.35416666666666669</v>
      </c>
      <c r="G271" s="19">
        <v>0.4375</v>
      </c>
      <c r="H271" s="18">
        <f>COUNTIF([1]!Table1[Course
Code],Table4[[#This Row],[Code]])</f>
        <v>1</v>
      </c>
    </row>
    <row r="272" spans="1:8" ht="23" hidden="1" customHeight="1" x14ac:dyDescent="0.25">
      <c r="A272" s="20" t="s">
        <v>319</v>
      </c>
      <c r="B272" s="18" t="s">
        <v>250</v>
      </c>
      <c r="C272" s="18">
        <f>IF(AND(Table4[[#This Row],[Start Time]]=TIME(16, 0, 0), Table4[[#This Row],[End Time]]=TIME(17, 0, 0)), 6, 7)</f>
        <v>6</v>
      </c>
      <c r="D272" s="22" t="s">
        <v>251</v>
      </c>
      <c r="E272" s="18" t="s">
        <v>325</v>
      </c>
      <c r="F272" s="19">
        <v>0.66666666666666663</v>
      </c>
      <c r="G272" s="19">
        <v>0.70833333333333326</v>
      </c>
      <c r="H272" s="18">
        <f>COUNTIF([1]!Table1[Course
Code],Table4[[#This Row],[Code]])</f>
        <v>1</v>
      </c>
    </row>
    <row r="273" spans="1:10" ht="23" hidden="1" customHeight="1" x14ac:dyDescent="0.25">
      <c r="A273" s="20" t="s">
        <v>319</v>
      </c>
      <c r="B273" s="18" t="s">
        <v>231</v>
      </c>
      <c r="C273" s="18">
        <f>IF(AND(Table4[[#This Row],[Start Time]]=TIME(10, 30, 0), Table4[[#This Row],[End Time]]=TIME(11, 30, 0)), 2, 3)</f>
        <v>2</v>
      </c>
      <c r="D273" s="22" t="s">
        <v>232</v>
      </c>
      <c r="E273" s="18" t="s">
        <v>324</v>
      </c>
      <c r="F273" s="19">
        <v>0.4375</v>
      </c>
      <c r="G273" s="19">
        <v>0.47916666666666669</v>
      </c>
      <c r="H273" s="18">
        <f>COUNTIF([1]!Table1[Course
Code],Table4[[#This Row],[Code]])</f>
        <v>1</v>
      </c>
    </row>
    <row r="274" spans="1:10" ht="23" hidden="1" customHeight="1" x14ac:dyDescent="0.25">
      <c r="A274" s="20" t="s">
        <v>319</v>
      </c>
      <c r="B274" s="19" t="s">
        <v>302</v>
      </c>
      <c r="C274" s="18">
        <f>IF(AND(Table4[[#This Row],[Start Time]]=TIME(15, 0, 0), Table4[[#This Row],[End Time]]=TIME(16, 0, 0)), 5, 6)</f>
        <v>5</v>
      </c>
      <c r="D274" s="15" t="s">
        <v>303</v>
      </c>
      <c r="E274" s="19" t="s">
        <v>325</v>
      </c>
      <c r="F274" s="19">
        <v>0.625</v>
      </c>
      <c r="G274" s="19">
        <v>0.66666666666666663</v>
      </c>
      <c r="H274" s="18">
        <f>COUNTIF([1]!Table1[Course
Code],Table4[[#This Row],[Code]])</f>
        <v>1</v>
      </c>
    </row>
    <row r="275" spans="1:10" ht="23" hidden="1" customHeight="1" x14ac:dyDescent="0.25">
      <c r="A275" s="20" t="s">
        <v>319</v>
      </c>
      <c r="B275" s="18" t="s">
        <v>126</v>
      </c>
      <c r="C275" s="18">
        <f>IF(AND(Table4[[#This Row],[Start Time]]=TIME(16, 0, 0), Table4[[#This Row],[End Time]]=TIME(17, 0, 0)), 6, 7)</f>
        <v>6</v>
      </c>
      <c r="D275" s="13" t="s">
        <v>128</v>
      </c>
      <c r="E275" s="18" t="s">
        <v>322</v>
      </c>
      <c r="F275" s="19">
        <v>0.66666666666666663</v>
      </c>
      <c r="G275" s="19">
        <v>0.70833333333333326</v>
      </c>
      <c r="H275" s="18">
        <f>COUNTIF([1]!Table1[Course
Code],Table4[[#This Row],[Code]])</f>
        <v>1</v>
      </c>
    </row>
    <row r="276" spans="1:10" ht="23" hidden="1" customHeight="1" x14ac:dyDescent="0.25">
      <c r="A276" s="20" t="s">
        <v>319</v>
      </c>
      <c r="B276" s="18" t="s">
        <v>269</v>
      </c>
      <c r="C276" s="18">
        <f>IF(AND(Table4[[#This Row],[Start Time]]=TIME(14, 0, 0), Table4[[#This Row],[End Time]]=TIME(15, 0, 0)), 4, 5)</f>
        <v>4</v>
      </c>
      <c r="D276" s="14" t="s">
        <v>270</v>
      </c>
      <c r="E276" s="18" t="s">
        <v>325</v>
      </c>
      <c r="F276" s="19">
        <v>0.58333333333333337</v>
      </c>
      <c r="G276" s="19">
        <v>0.625</v>
      </c>
      <c r="H276" s="18">
        <f>COUNTIF([1]!Table1[Course
Code],Table4[[#This Row],[Code]])</f>
        <v>1</v>
      </c>
    </row>
    <row r="277" spans="1:10" ht="23" hidden="1" customHeight="1" x14ac:dyDescent="0.25">
      <c r="A277" s="20" t="s">
        <v>319</v>
      </c>
      <c r="B277" s="18" t="s">
        <v>220</v>
      </c>
      <c r="C277" s="18">
        <f>IF(AND(Table4[[#This Row],[Start Time]]=TIME(10, 30, 0), Table4[[#This Row],[End Time]]=TIME(11, 30, 0)), 2, 3)</f>
        <v>2</v>
      </c>
      <c r="D277" s="13" t="s">
        <v>221</v>
      </c>
      <c r="E277" s="18" t="s">
        <v>322</v>
      </c>
      <c r="F277" s="19">
        <v>0.4375</v>
      </c>
      <c r="G277" s="19">
        <v>0.47916666666666669</v>
      </c>
      <c r="H277" s="18">
        <f>COUNTIF([1]!Table1[Course
Code],Table4[[#This Row],[Code]])</f>
        <v>1</v>
      </c>
    </row>
    <row r="278" spans="1:10" ht="23" hidden="1" customHeight="1" x14ac:dyDescent="0.25">
      <c r="A278" s="20" t="s">
        <v>319</v>
      </c>
      <c r="B278" s="18" t="s">
        <v>119</v>
      </c>
      <c r="C278" s="18">
        <f>IF(AND(Table4[[#This Row],[Start Time]]=TIME(11, 30, 0), Table4[[#This Row],[End Time]]=TIME(12, 30, 0)), 3, 4)</f>
        <v>3</v>
      </c>
      <c r="D278" s="13" t="s">
        <v>120</v>
      </c>
      <c r="E278" s="18" t="s">
        <v>311</v>
      </c>
      <c r="F278" s="19">
        <v>0.47916666666666669</v>
      </c>
      <c r="G278" s="19">
        <v>0.52083333333333337</v>
      </c>
      <c r="H278" s="18">
        <f>COUNTIF([1]!Table1[Course
Code],Table4[[#This Row],[Code]])</f>
        <v>1</v>
      </c>
    </row>
    <row r="279" spans="1:10" ht="23" hidden="1" customHeight="1" x14ac:dyDescent="0.25">
      <c r="A279" s="20" t="s">
        <v>319</v>
      </c>
      <c r="B279" s="18" t="s">
        <v>138</v>
      </c>
      <c r="C279" s="18">
        <f>IF(AND(Table4[[#This Row],[Start Time]]=TIME(9, 30, 0), Table4[[#This Row],[End Time]]=TIME(10, 30, 0)), 1, 2)</f>
        <v>1</v>
      </c>
      <c r="D279" s="13" t="s">
        <v>139</v>
      </c>
      <c r="E279" s="18" t="s">
        <v>320</v>
      </c>
      <c r="F279" s="19">
        <v>0.39583333333333331</v>
      </c>
      <c r="G279" s="19">
        <v>0.4375</v>
      </c>
      <c r="H279" s="18">
        <f>COUNTIF([1]!Table1[Course
Code],Table4[[#This Row],[Code]])</f>
        <v>1</v>
      </c>
    </row>
    <row r="280" spans="1:10" ht="23" hidden="1" customHeight="1" x14ac:dyDescent="0.25">
      <c r="A280" s="20" t="s">
        <v>319</v>
      </c>
      <c r="B280" s="18" t="s">
        <v>131</v>
      </c>
      <c r="C280" s="18">
        <f>IF(AND(Table4[[#This Row],[Start Time]]=TIME(10, 30, 0), Table4[[#This Row],[End Time]]=TIME(11, 30, 0)), 2, 3)</f>
        <v>2</v>
      </c>
      <c r="D280" s="13" t="s">
        <v>57</v>
      </c>
      <c r="E280" s="18" t="s">
        <v>320</v>
      </c>
      <c r="F280" s="19">
        <v>0.4375</v>
      </c>
      <c r="G280" s="19">
        <v>0.47916666666666669</v>
      </c>
      <c r="H280" s="18">
        <f>COUNTIF([1]!Table1[Course
Code],Table4[[#This Row],[Code]])</f>
        <v>1</v>
      </c>
    </row>
    <row r="281" spans="1:10" ht="23" hidden="1" customHeight="1" x14ac:dyDescent="0.25">
      <c r="A281" s="20" t="s">
        <v>319</v>
      </c>
      <c r="B281" s="18" t="s">
        <v>196</v>
      </c>
      <c r="C281" s="18">
        <f>IF(AND(Table4[[#This Row],[Start Time]]=TIME(8, 30, 0), Table4[[#This Row],[End Time]]=TIME(9, 30, 0)), 0, 1)</f>
        <v>0</v>
      </c>
      <c r="D281" s="13" t="s">
        <v>197</v>
      </c>
      <c r="E281" s="18" t="s">
        <v>320</v>
      </c>
      <c r="F281" s="19">
        <v>0.35416666666666669</v>
      </c>
      <c r="G281" s="19">
        <v>0.39583333333333337</v>
      </c>
      <c r="H281" s="18">
        <f>COUNTIF([1]!Table1[Course
Code],Table4[[#This Row],[Code]])</f>
        <v>1</v>
      </c>
    </row>
    <row r="282" spans="1:10" ht="23" hidden="1" customHeight="1" x14ac:dyDescent="0.25">
      <c r="A282" s="20" t="s">
        <v>319</v>
      </c>
      <c r="B282" s="18" t="s">
        <v>184</v>
      </c>
      <c r="C282" s="18">
        <f>IF(AND(Table4[[#This Row],[Start Time]]=TIME(11, 30, 0), Table4[[#This Row],[End Time]]=TIME(12, 30, 0)), 3, 4)</f>
        <v>3</v>
      </c>
      <c r="D282" s="13" t="s">
        <v>185</v>
      </c>
      <c r="E282" s="18" t="s">
        <v>320</v>
      </c>
      <c r="F282" s="19">
        <v>0.47916666666666669</v>
      </c>
      <c r="G282" s="19">
        <v>0.52083333333333337</v>
      </c>
      <c r="H282" s="18">
        <f>COUNTIF([1]!Table1[Course
Code],Table4[[#This Row],[Code]])</f>
        <v>1</v>
      </c>
    </row>
    <row r="283" spans="1:10" ht="23" hidden="1" customHeight="1" x14ac:dyDescent="0.25">
      <c r="A283" s="20" t="s">
        <v>319</v>
      </c>
      <c r="B283" s="18" t="s">
        <v>144</v>
      </c>
      <c r="C283" s="18">
        <f>IF(AND(Table4[[#This Row],[Start Time]]=TIME(11, 30, 0), Table4[[#This Row],[End Time]]=TIME(12, 30, 0)), 3, 4)</f>
        <v>3</v>
      </c>
      <c r="D283" s="13" t="s">
        <v>145</v>
      </c>
      <c r="E283" s="18" t="s">
        <v>315</v>
      </c>
      <c r="F283" s="19">
        <v>0.47916666666666669</v>
      </c>
      <c r="G283" s="19">
        <v>0.52083333333333337</v>
      </c>
      <c r="H283" s="18">
        <f>COUNTIF([1]!Table1[Course
Code],Table4[[#This Row],[Code]])</f>
        <v>1</v>
      </c>
    </row>
    <row r="284" spans="1:10" ht="23" hidden="1" customHeight="1" x14ac:dyDescent="0.25">
      <c r="A284" s="20" t="s">
        <v>319</v>
      </c>
      <c r="B284" s="18" t="s">
        <v>338</v>
      </c>
      <c r="C284" s="18">
        <f>IF(AND(Table4[[#This Row],[Start Time]]=TIME(10, 30, 0), Table4[[#This Row],[End Time]]=TIME(11, 30, 0)), 2, 3)</f>
        <v>2</v>
      </c>
      <c r="D284" s="13" t="s">
        <v>203</v>
      </c>
      <c r="E284" s="18" t="s">
        <v>325</v>
      </c>
      <c r="F284" s="19">
        <v>0.4375</v>
      </c>
      <c r="G284" s="19">
        <v>0.47916666666666669</v>
      </c>
      <c r="H284" s="18">
        <f>COUNTIF([1]!Table1[Course
Code],Table4[[#This Row],[Code]])</f>
        <v>1</v>
      </c>
      <c r="J284" s="17" t="s">
        <v>202</v>
      </c>
    </row>
    <row r="285" spans="1:10" ht="23" hidden="1" customHeight="1" x14ac:dyDescent="0.25">
      <c r="A285" s="20" t="s">
        <v>319</v>
      </c>
      <c r="B285" s="18" t="s">
        <v>204</v>
      </c>
      <c r="C285" s="18">
        <f>IF(AND(Table4[[#This Row],[Start Time]]=TIME(8, 30, 0), Table4[[#This Row],[End Time]]=TIME(9, 30, 0)), 0, 1)</f>
        <v>0</v>
      </c>
      <c r="D285" s="13" t="s">
        <v>205</v>
      </c>
      <c r="E285" s="18" t="s">
        <v>325</v>
      </c>
      <c r="F285" s="19">
        <v>0.35416666666666669</v>
      </c>
      <c r="G285" s="19">
        <v>0.39583333333333337</v>
      </c>
      <c r="H285" s="18">
        <f>COUNTIF([1]!Table1[Course
Code],Table4[[#This Row],[Code]])</f>
        <v>1</v>
      </c>
    </row>
    <row r="286" spans="1:10" ht="23" hidden="1" customHeight="1" x14ac:dyDescent="0.25">
      <c r="A286" s="20" t="s">
        <v>319</v>
      </c>
      <c r="B286" s="18" t="s">
        <v>206</v>
      </c>
      <c r="C286" s="18">
        <f>IF(AND(Table4[[#This Row],[Start Time]]=TIME(9, 30, 0), Table4[[#This Row],[End Time]]=TIME(10, 30, 0)), 1, 2)</f>
        <v>1</v>
      </c>
      <c r="D286" s="13" t="s">
        <v>207</v>
      </c>
      <c r="E286" s="18" t="s">
        <v>325</v>
      </c>
      <c r="F286" s="19">
        <v>0.39583333333333331</v>
      </c>
      <c r="G286" s="19">
        <v>0.4375</v>
      </c>
      <c r="H286" s="18">
        <f>COUNTIF([1]!Table1[Course
Code],Table4[[#This Row],[Code]])</f>
        <v>1</v>
      </c>
    </row>
    <row r="287" spans="1:10" ht="23" hidden="1" customHeight="1" x14ac:dyDescent="0.25">
      <c r="A287" s="20" t="s">
        <v>319</v>
      </c>
      <c r="B287" s="18" t="s">
        <v>245</v>
      </c>
      <c r="C287" s="18">
        <f>IF(AND(Table4[[#This Row],[Start Time]]=TIME(15, 0, 0), Table4[[#This Row],[End Time]]=TIME(16, 0, 0)), 5, 6)</f>
        <v>5</v>
      </c>
      <c r="D287" s="18" t="s">
        <v>246</v>
      </c>
      <c r="E287" s="18" t="s">
        <v>328</v>
      </c>
      <c r="F287" s="19">
        <v>0.625</v>
      </c>
      <c r="G287" s="19">
        <v>0.66666666666666663</v>
      </c>
      <c r="H287" s="18">
        <f>COUNTIF([1]!Table1[Course
Code],Table4[[#This Row],[Code]])</f>
        <v>1</v>
      </c>
    </row>
    <row r="288" spans="1:10" ht="23" hidden="1" customHeight="1" x14ac:dyDescent="0.25">
      <c r="A288" s="20" t="s">
        <v>319</v>
      </c>
      <c r="B288" s="18" t="s">
        <v>265</v>
      </c>
      <c r="C288" s="18">
        <f>IF(AND(Table4[[#This Row],[Start Time]]=TIME(14, 0, 0), Table4[[#This Row],[End Time]]=TIME(15, 0, 0)), 4, 5)</f>
        <v>4</v>
      </c>
      <c r="D288" s="22" t="s">
        <v>266</v>
      </c>
      <c r="E288" s="18" t="s">
        <v>328</v>
      </c>
      <c r="F288" s="19">
        <v>0.58333333333333337</v>
      </c>
      <c r="G288" s="19">
        <v>0.625</v>
      </c>
      <c r="H288" s="18">
        <f>COUNTIF([1]!Table1[Course
Code],Table4[[#This Row],[Code]])</f>
        <v>1</v>
      </c>
    </row>
    <row r="289" spans="1:8" ht="23" hidden="1" customHeight="1" x14ac:dyDescent="0.25">
      <c r="A289" s="20" t="s">
        <v>319</v>
      </c>
      <c r="B289" s="18" t="s">
        <v>294</v>
      </c>
      <c r="C289" s="18">
        <f>IF(AND(Table4[[#This Row],[Start Time]]=TIME(9, 30, 0), Table4[[#This Row],[End Time]]=TIME(10, 30, 0)), 1, 2)</f>
        <v>1</v>
      </c>
      <c r="D289" s="22" t="s">
        <v>295</v>
      </c>
      <c r="E289" s="18" t="s">
        <v>328</v>
      </c>
      <c r="F289" s="19">
        <v>0.39583333333333331</v>
      </c>
      <c r="G289" s="19">
        <v>0.4375</v>
      </c>
      <c r="H289" s="18">
        <f>COUNTIF([1]!Table1[Course
Code],Table4[[#This Row],[Code]])</f>
        <v>1</v>
      </c>
    </row>
    <row r="290" spans="1:8" ht="23" hidden="1" customHeight="1" x14ac:dyDescent="0.25">
      <c r="A290" s="20" t="s">
        <v>319</v>
      </c>
      <c r="B290" s="18" t="s">
        <v>218</v>
      </c>
      <c r="C290" s="18">
        <f>IF(AND(Table4[[#This Row],[Start Time]]=TIME(9, 30, 0), Table4[[#This Row],[End Time]]=TIME(10, 30, 0)), 1, 2)</f>
        <v>1</v>
      </c>
      <c r="D290" s="13" t="s">
        <v>219</v>
      </c>
      <c r="E290" s="18" t="s">
        <v>322</v>
      </c>
      <c r="F290" s="19">
        <v>0.39583333333333331</v>
      </c>
      <c r="G290" s="19">
        <v>0.4375</v>
      </c>
      <c r="H290" s="18">
        <f>COUNTIF([1]!Table1[Course
Code],Table4[[#This Row],[Code]])</f>
        <v>1</v>
      </c>
    </row>
    <row r="291" spans="1:8" ht="23" hidden="1" customHeight="1" x14ac:dyDescent="0.25">
      <c r="A291" s="20" t="s">
        <v>319</v>
      </c>
      <c r="B291" s="18" t="s">
        <v>121</v>
      </c>
      <c r="C291" s="18">
        <f>IF(AND(Table4[[#This Row],[Start Time]]=TIME(9, 30, 0), Table4[[#This Row],[End Time]]=TIME(10, 30, 0)), 1, 2)</f>
        <v>1</v>
      </c>
      <c r="D291" s="13" t="s">
        <v>122</v>
      </c>
      <c r="E291" s="18" t="s">
        <v>311</v>
      </c>
      <c r="F291" s="19">
        <v>0.39583333333333331</v>
      </c>
      <c r="G291" s="19">
        <v>0.4375</v>
      </c>
      <c r="H291" s="18">
        <f>COUNTIF([1]!Table1[Course
Code],Table4[[#This Row],[Code]])</f>
        <v>1</v>
      </c>
    </row>
    <row r="292" spans="1:8" ht="23" hidden="1" customHeight="1" x14ac:dyDescent="0.25">
      <c r="A292" s="20" t="s">
        <v>319</v>
      </c>
      <c r="B292" s="18" t="s">
        <v>186</v>
      </c>
      <c r="C292" s="18">
        <f>IF(AND(Table4[[#This Row],[Start Time]]=TIME(8, 30, 0), Table4[[#This Row],[End Time]]=TIME(9, 30, 0)), 0, 1)</f>
        <v>0</v>
      </c>
      <c r="D292" s="13" t="s">
        <v>187</v>
      </c>
      <c r="E292" s="18" t="s">
        <v>315</v>
      </c>
      <c r="F292" s="19">
        <v>0.35416666666666669</v>
      </c>
      <c r="G292" s="19">
        <v>0.39583333333333337</v>
      </c>
      <c r="H292" s="18">
        <f>COUNTIF([1]!Table1[Course
Code],Table4[[#This Row],[Code]])</f>
        <v>1</v>
      </c>
    </row>
    <row r="293" spans="1:8" ht="23" hidden="1" customHeight="1" x14ac:dyDescent="0.25">
      <c r="A293" s="20" t="s">
        <v>319</v>
      </c>
      <c r="B293" s="18" t="s">
        <v>267</v>
      </c>
      <c r="C293" s="18">
        <f>IF(AND(Table4[[#This Row],[Start Time]]=TIME(14, 0, 0), Table4[[#This Row],[End Time]]=TIME(15, 0, 0)), 4, 5)</f>
        <v>4</v>
      </c>
      <c r="D293" s="22" t="s">
        <v>268</v>
      </c>
      <c r="E293" s="18" t="s">
        <v>329</v>
      </c>
      <c r="F293" s="19">
        <v>0.58333333333333337</v>
      </c>
      <c r="G293" s="19">
        <v>0.625</v>
      </c>
      <c r="H293" s="18">
        <f>COUNTIF([1]!Table1[Course
Code],Table4[[#This Row],[Code]])</f>
        <v>1</v>
      </c>
    </row>
    <row r="294" spans="1:8" ht="23" hidden="1" customHeight="1" x14ac:dyDescent="0.25">
      <c r="A294" s="20" t="s">
        <v>319</v>
      </c>
      <c r="B294" s="18" t="s">
        <v>234</v>
      </c>
      <c r="C294" s="18">
        <f>IF(AND(Table4[[#This Row],[Start Time]]=TIME(11, 30, 0), Table4[[#This Row],[End Time]]=TIME(12, 30, 0)), 3, 4)</f>
        <v>3</v>
      </c>
      <c r="D294" s="22" t="s">
        <v>235</v>
      </c>
      <c r="E294" s="18" t="s">
        <v>327</v>
      </c>
      <c r="F294" s="19">
        <v>0.47916666666666669</v>
      </c>
      <c r="G294" s="19">
        <v>0.52083333333333337</v>
      </c>
      <c r="H294" s="18">
        <f>COUNTIF([1]!Table1[Course
Code],Table4[[#This Row],[Code]])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2.1640625" customWidth="1"/>
    <col min="4" max="4" width="12.6640625" bestFit="1" customWidth="1"/>
    <col min="5" max="5" width="49.5" bestFit="1" customWidth="1"/>
    <col min="6" max="6" width="37" bestFit="1" customWidth="1"/>
  </cols>
  <sheetData>
    <row r="1" spans="1:6" x14ac:dyDescent="0.2">
      <c r="A1" t="s">
        <v>11</v>
      </c>
      <c r="B1" t="s">
        <v>12</v>
      </c>
      <c r="C1" t="s">
        <v>13</v>
      </c>
      <c r="D1" t="s">
        <v>14</v>
      </c>
      <c r="E1" t="s">
        <v>9</v>
      </c>
      <c r="F1" t="s">
        <v>15</v>
      </c>
    </row>
    <row r="2" spans="1:6" x14ac:dyDescent="0.2">
      <c r="A2">
        <v>4</v>
      </c>
      <c r="B2" t="s">
        <v>19</v>
      </c>
      <c r="D2" t="s">
        <v>34</v>
      </c>
      <c r="E2" t="s">
        <v>22</v>
      </c>
      <c r="F2" t="s">
        <v>29</v>
      </c>
    </row>
    <row r="3" spans="1:6" x14ac:dyDescent="0.2">
      <c r="A3">
        <v>5</v>
      </c>
      <c r="B3" t="s">
        <v>20</v>
      </c>
      <c r="D3" t="s">
        <v>31</v>
      </c>
      <c r="E3" t="s">
        <v>21</v>
      </c>
      <c r="F3" t="s">
        <v>30</v>
      </c>
    </row>
    <row r="4" spans="1:6" x14ac:dyDescent="0.2">
      <c r="A4">
        <v>3</v>
      </c>
      <c r="B4" t="s">
        <v>18</v>
      </c>
      <c r="D4" t="s">
        <v>33</v>
      </c>
      <c r="E4" t="s">
        <v>23</v>
      </c>
      <c r="F4" t="s">
        <v>28</v>
      </c>
    </row>
    <row r="5" spans="1:6" x14ac:dyDescent="0.2">
      <c r="A5">
        <v>1</v>
      </c>
      <c r="B5" t="s">
        <v>16</v>
      </c>
      <c r="D5" t="s">
        <v>31</v>
      </c>
      <c r="E5" t="s">
        <v>25</v>
      </c>
      <c r="F5" t="s">
        <v>26</v>
      </c>
    </row>
    <row r="6" spans="1:6" x14ac:dyDescent="0.2">
      <c r="A6">
        <v>2</v>
      </c>
      <c r="B6" t="s">
        <v>17</v>
      </c>
      <c r="D6" t="s">
        <v>32</v>
      </c>
      <c r="E6" t="s">
        <v>24</v>
      </c>
      <c r="F6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Resources</vt:lpstr>
      <vt:lpstr>Events</vt:lpstr>
      <vt:lpstr>Sheet1</vt:lpstr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2023-10-10T06:30:04Z</dcterms:modified>
</cp:coreProperties>
</file>